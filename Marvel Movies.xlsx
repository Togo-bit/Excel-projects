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https://d.docs.live.net/51d61c3878d9def3/Desktop/Plan 1.0/"/>
    </mc:Choice>
  </mc:AlternateContent>
  <xr:revisionPtr revIDLastSave="0" documentId="8_{5D561760-B512-48CD-9AA0-4BAC4A984E5F}" xr6:coauthVersionLast="47" xr6:coauthVersionMax="47" xr10:uidLastSave="{00000000-0000-0000-0000-000000000000}"/>
  <bookViews>
    <workbookView xWindow="-108" yWindow="-108" windowWidth="23256" windowHeight="12456" xr2:uid="{77336A1B-44C6-40D6-9D3B-505615EE1371}"/>
  </bookViews>
  <sheets>
    <sheet name="Dashboard" sheetId="2" r:id="rId1"/>
    <sheet name="Marvel Movies" sheetId="1" r:id="rId2"/>
    <sheet name="Average worldwide gross" sheetId="3" r:id="rId3"/>
    <sheet name="Top 5" sheetId="4" r:id="rId4"/>
    <sheet name="Per timeline" sheetId="7" r:id="rId5"/>
  </sheets>
  <definedNames>
    <definedName name="Slicer_category">#N/A</definedName>
    <definedName name="Slicer_year">#N/A</definedName>
  </definedNames>
  <calcPr calcId="0"/>
  <pivotCaches>
    <pivotCache cacheId="20" r:id="rId6"/>
    <pivotCache cacheId="8" r:id="rId7"/>
    <pivotCache cacheId="19"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W4" i="1" l="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 i="1"/>
  <c r="W2" i="1"/>
  <c r="U2" i="1" a="1"/>
  <c r="U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<sst xmlns="http://schemas.openxmlformats.org/spreadsheetml/2006/main" count="159" uniqueCount="71">
  <si>
    <t>movie</t>
  </si>
  <si>
    <t>category</t>
  </si>
  <si>
    <t>year</t>
  </si>
  <si>
    <t>worldwide_gross</t>
  </si>
  <si>
    <t>budget_recovered</t>
  </si>
  <si>
    <t>critics  score</t>
  </si>
  <si>
    <t>audience  score</t>
  </si>
  <si>
    <t>audience vs critics  deviance</t>
  </si>
  <si>
    <t>budget</t>
  </si>
  <si>
    <t>domestic_gross</t>
  </si>
  <si>
    <t>international_gross</t>
  </si>
  <si>
    <t>opening_weekend</t>
  </si>
  <si>
    <t>second_weekend</t>
  </si>
  <si>
    <t>1st vs 2nd weekend drop off</t>
  </si>
  <si>
    <t>gross from domestic</t>
  </si>
  <si>
    <t>gross from international</t>
  </si>
  <si>
    <t>budget opening weekend</t>
  </si>
  <si>
    <t xml:space="preserve">Ant-Man  </t>
  </si>
  <si>
    <t>Ant-Man</t>
  </si>
  <si>
    <t>Ant-Man &amp; The Wasp</t>
  </si>
  <si>
    <t>Avengers: Age of Ultron</t>
  </si>
  <si>
    <t>Avengers</t>
  </si>
  <si>
    <t>Avengers: End Game</t>
  </si>
  <si>
    <t>Avengers: Infinity War</t>
  </si>
  <si>
    <t>Black Panther</t>
  </si>
  <si>
    <t>Black Panther 2</t>
  </si>
  <si>
    <t>Black Widow</t>
  </si>
  <si>
    <t>Unique</t>
  </si>
  <si>
    <t>Captain America</t>
  </si>
  <si>
    <t>Captain America: Civil War</t>
  </si>
  <si>
    <t>Captain America: Winter Soldier</t>
  </si>
  <si>
    <t>Captain Marvel</t>
  </si>
  <si>
    <t>Dr Strange</t>
  </si>
  <si>
    <t>Dr Strange: Multiverse of Madness</t>
  </si>
  <si>
    <t>Eternals</t>
  </si>
  <si>
    <t>Guardians of the Galaxy</t>
  </si>
  <si>
    <t>Guardians</t>
  </si>
  <si>
    <t>Guardians of the Galaxy 2</t>
  </si>
  <si>
    <t>Incredible Hulk</t>
  </si>
  <si>
    <t>Iron Man</t>
  </si>
  <si>
    <t>Iron Man 2</t>
  </si>
  <si>
    <t>Iron Man 3</t>
  </si>
  <si>
    <t>Shang-Chi</t>
  </si>
  <si>
    <t>Spider-Man: Far from Home</t>
  </si>
  <si>
    <t>Spider-Man</t>
  </si>
  <si>
    <t>Spider-Man: Homecoming</t>
  </si>
  <si>
    <t>Spider-Man: No Way Home</t>
  </si>
  <si>
    <t>The Avengers</t>
  </si>
  <si>
    <t>Thor: Dark World</t>
  </si>
  <si>
    <t>Thor</t>
  </si>
  <si>
    <t>Thor: Love &amp; Thunder</t>
  </si>
  <si>
    <t>Thor: Ragnarok</t>
  </si>
  <si>
    <t>Ant-Man and the Wasp: Quantumania</t>
  </si>
  <si>
    <t>Guardians of the Galaxy Vol. 3</t>
  </si>
  <si>
    <t>The Marvels</t>
  </si>
  <si>
    <t>Spider-Man: Across the Spider-Verse</t>
  </si>
  <si>
    <t>Deadpool</t>
  </si>
  <si>
    <t>Deadpool 2</t>
  </si>
  <si>
    <t>Marvel Movies Dataset analysis</t>
  </si>
  <si>
    <t>Row Labels</t>
  </si>
  <si>
    <t>Grand Total</t>
  </si>
  <si>
    <t>Sum of worldwide_gross</t>
  </si>
  <si>
    <t>Average of worldwide_gross</t>
  </si>
  <si>
    <t>Top 5(movies)</t>
  </si>
  <si>
    <t>Top 5(gross</t>
  </si>
  <si>
    <t>Sum of Top 5(gross</t>
  </si>
  <si>
    <t>Timeline</t>
  </si>
  <si>
    <t>2010's</t>
  </si>
  <si>
    <t>2020's</t>
  </si>
  <si>
    <t>2000's</t>
  </si>
  <si>
    <t>timeline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</si>
</sst>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0" fontId="0" fillId="0" borderId="0" xfId="0" applyNumberFormat="1"/>
    <xf numFmtId="0" fontId="18" fillId="33"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[Marvel Movies.xlsx]Average worldwide gross!PivotTable1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world wide gross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worldwide gross'!$B$3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worldwide gross'!$A$4:$A$15</c:f>
              <c:strCache>
                <c:ptCount val="11"/>
                <c:pt idx="0">
                  <c:v>Ant-Man</c:v>
                </c:pt>
                <c:pt idx="1">
                  <c:v>Avengers</c:v>
                </c:pt>
                <c:pt idx="2">
                  <c:v>Black Panther</c:v>
                </c:pt>
                <c:pt idx="3">
                  <c:v>Captain America</c:v>
                </c:pt>
                <c:pt idx="4">
                  <c:v>Deadpool</c:v>
                </c:pt>
                <c:pt idx="5">
                  <c:v>Dr Strange</c:v>
                </c:pt>
                <c:pt idx="6">
                  <c:v>Guardians</c:v>
                </c:pt>
                <c:pt idx="7">
                  <c:v>Iron Man</c:v>
                </c:pt>
                <c:pt idx="8">
                  <c:v>Spider-Man</c:v>
                </c:pt>
                <c:pt idx="9">
                  <c:v>Thor</c:v>
                </c:pt>
                <c:pt idx="10">
                  <c:v>Unique</c:v>
                </c:pt>
              </c:strCache>
            </c:strRef>
          </c:cat>
          <c:val>
            <c:numRef>
              <c:f>'Average worldwide gross'!$B$4:$B$15</c:f>
              <c:numCache>
                <c:formatCode>General</c:formatCode>
                <c:ptCount val="11"/>
                <c:pt idx="0">
                  <c:v>539</c:v>
                </c:pt>
                <c:pt idx="1">
                  <c:v>1938.75</c:v>
                </c:pt>
                <c:pt idx="2">
                  <c:v>1095.5</c:v>
                </c:pt>
                <c:pt idx="3">
                  <c:v>745</c:v>
                </c:pt>
                <c:pt idx="4">
                  <c:v>784.5</c:v>
                </c:pt>
                <c:pt idx="5">
                  <c:v>814</c:v>
                </c:pt>
                <c:pt idx="6">
                  <c:v>828</c:v>
                </c:pt>
                <c:pt idx="7">
                  <c:v>807</c:v>
                </c:pt>
                <c:pt idx="8">
                  <c:v>1150.25</c:v>
                </c:pt>
                <c:pt idx="9">
                  <c:v>672</c:v>
                </c:pt>
                <c:pt idx="10">
                  <c:v>518.33333333333337</c:v>
                </c:pt>
              </c:numCache>
            </c:numRef>
          </c:val>
          <c:extLst>
            <c:ext xmlns:c16="http://schemas.microsoft.com/office/drawing/2014/chart" uri="{C3380CC4-5D6E-409C-BE32-E72D297353CC}">
              <c16:uniqueId val="{00000000-08D1-4686-AE7A-6386A041A45D}"/>
            </c:ext>
          </c:extLst>
        </c:ser>
        <c:dLbls>
          <c:showLegendKey val="0"/>
          <c:showVal val="0"/>
          <c:showCatName val="0"/>
          <c:showSerName val="0"/>
          <c:showPercent val="0"/>
          <c:showBubbleSize val="0"/>
        </c:dLbls>
        <c:gapWidth val="100"/>
        <c:overlap val="-24"/>
        <c:axId val="1888473215"/>
        <c:axId val="1888456895"/>
      </c:barChart>
      <c:catAx>
        <c:axId val="1888473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456895"/>
        <c:crosses val="autoZero"/>
        <c:auto val="1"/>
        <c:lblAlgn val="ctr"/>
        <c:lblOffset val="100"/>
        <c:noMultiLvlLbl val="0"/>
      </c:catAx>
      <c:valAx>
        <c:axId val="188845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47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[Marvel Movies.xlsx]Top 5!PivotTable2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Top 5 Movies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a:sp3d contourW="25400">
            <a:contourClr>
              <a:schemeClr val="lt1"/>
            </a:contourClr>
          </a:sp3d>
        </c:spPr>
      </c:pivotFmt>
      <c:pivotFmt>
        <c:idx val="3"/>
        <c:spPr>
          <a:solidFill>
            <a:schemeClr val="accent2"/>
          </a:solidFill>
          <a:ln w="19050">
            <a:solidFill>
              <a:schemeClr val="lt1"/>
            </a:solidFill>
          </a:ln>
          <a:effectLst/>
          <a:sp3d contourW="25400">
            <a:contourClr>
              <a:schemeClr val="lt1"/>
            </a:contourClr>
          </a:sp3d>
        </c:spPr>
      </c:pivotFmt>
      <c:pivotFmt>
        <c:idx val="4"/>
        <c:spPr>
          <a:solidFill>
            <a:schemeClr val="accent2"/>
          </a:solidFill>
          <a:ln w="19050">
            <a:solidFill>
              <a:schemeClr val="lt1"/>
            </a:solidFill>
          </a:ln>
          <a:effectLst/>
          <a:sp3d contourW="25400">
            <a:contourClr>
              <a:schemeClr val="lt1"/>
            </a:contourClr>
          </a:sp3d>
        </c:spPr>
      </c:pivotFmt>
      <c:pivotFmt>
        <c:idx val="5"/>
        <c:spPr>
          <a:solidFill>
            <a:schemeClr val="accent2"/>
          </a:solidFill>
          <a:ln w="19050">
            <a:solidFill>
              <a:schemeClr val="lt1"/>
            </a:solidFill>
          </a:ln>
          <a:effectLst/>
          <a:sp3d contourW="25400">
            <a:contourClr>
              <a:schemeClr val="lt1"/>
            </a:contourClr>
          </a:sp3d>
        </c:spPr>
      </c:pivotFmt>
      <c:pivotFmt>
        <c:idx val="6"/>
        <c:spPr>
          <a:solidFill>
            <a:schemeClr val="accent2"/>
          </a:solidFill>
          <a:ln w="1905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25400">
            <a:solidFill>
              <a:schemeClr val="lt1"/>
            </a:solidFill>
          </a:ln>
          <a:effectLst/>
          <a:sp3d contourW="25400">
            <a:contourClr>
              <a:schemeClr val="lt1"/>
            </a:contourClr>
          </a:sp3d>
        </c:spPr>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
        <c:idx val="11"/>
        <c:spPr>
          <a:solidFill>
            <a:schemeClr val="accent2"/>
          </a:solidFill>
          <a:ln w="25400">
            <a:solidFill>
              <a:schemeClr val="lt1"/>
            </a:solidFill>
          </a:ln>
          <a:effectLst/>
          <a:sp3d contourW="25400">
            <a:contourClr>
              <a:schemeClr val="lt1"/>
            </a:contourClr>
          </a:sp3d>
        </c:spPr>
      </c:pivotFmt>
      <c:pivotFmt>
        <c:idx val="12"/>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5'!$B$3</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12C-43FC-9870-3D395418AC98}"/>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F12C-43FC-9870-3D395418AC98}"/>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F12C-43FC-9870-3D395418AC98}"/>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F12C-43FC-9870-3D395418AC98}"/>
              </c:ext>
            </c:extLst>
          </c:dPt>
          <c:dPt>
            <c:idx val="4"/>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F12C-43FC-9870-3D395418AC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5'!$A$4:$A$9</c:f>
              <c:strCache>
                <c:ptCount val="5"/>
                <c:pt idx="0">
                  <c:v>Avengers: Age of Ultron</c:v>
                </c:pt>
                <c:pt idx="1">
                  <c:v>Avengers: End Game</c:v>
                </c:pt>
                <c:pt idx="2">
                  <c:v>Avengers: Infinity War</c:v>
                </c:pt>
                <c:pt idx="3">
                  <c:v>Spider-Man: No Way Home</c:v>
                </c:pt>
                <c:pt idx="4">
                  <c:v>The Avengers</c:v>
                </c:pt>
              </c:strCache>
            </c:strRef>
          </c:cat>
          <c:val>
            <c:numRef>
              <c:f>'Top 5'!$B$4:$B$9</c:f>
              <c:numCache>
                <c:formatCode>General</c:formatCode>
                <c:ptCount val="5"/>
                <c:pt idx="0">
                  <c:v>1395</c:v>
                </c:pt>
                <c:pt idx="1">
                  <c:v>2797</c:v>
                </c:pt>
                <c:pt idx="2">
                  <c:v>2048</c:v>
                </c:pt>
                <c:pt idx="3">
                  <c:v>1911</c:v>
                </c:pt>
                <c:pt idx="4">
                  <c:v>1515</c:v>
                </c:pt>
              </c:numCache>
            </c:numRef>
          </c:val>
          <c:extLst>
            <c:ext xmlns:c16="http://schemas.microsoft.com/office/drawing/2014/chart" uri="{C3380CC4-5D6E-409C-BE32-E72D297353CC}">
              <c16:uniqueId val="{0000000A-F12C-43FC-9870-3D395418AC98}"/>
            </c:ext>
          </c:extLst>
        </c:ser>
        <c:dLbls>
          <c:dLblPos val="bestFit"/>
          <c:showLegendKey val="0"/>
          <c:showVal val="1"/>
          <c:showCatName val="0"/>
          <c:showSerName val="0"/>
          <c:showPercent val="0"/>
          <c:showBubbleSize val="0"/>
          <c:showLeaderLines val="1"/>
        </c:dLbls>
      </c:pie3DChart>
      <c:spPr>
        <a:noFill/>
        <a:ln w="127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[Marvel Movies.xlsx]Per timeline!PivotTable5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gross per timeline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'Per timeline'!$B$3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 timeline'!$A$4:$A$7</c:f>
              <c:strCache>
                <c:ptCount val="3"/>
                <c:pt idx="0">
                  <c:v>2000's</c:v>
                </c:pt>
                <c:pt idx="1">
                  <c:v>2010's</c:v>
                </c:pt>
                <c:pt idx="2">
                  <c:v>2020's</c:v>
                </c:pt>
              </c:strCache>
            </c:strRef>
          </c:cat>
          <c:val>
            <c:numRef>
              <c:f>'Per timeline'!$B$4:$B$7</c:f>
              <c:numCache>
                <c:formatCode>General</c:formatCode>
                <c:ptCount val="3"/>
                <c:pt idx="0">
                  <c:v>850</c:v>
                </c:pt>
                <c:pt idx="1">
                  <c:v>23269</c:v>
                </c:pt>
                <c:pt idx="2">
                  <c:v>8180</c:v>
                </c:pt>
              </c:numCache>
            </c:numRef>
          </c:val>
          <c:smooth val="0"/>
          <c:extLst>
            <c:ext xmlns:c16="http://schemas.microsoft.com/office/drawing/2014/chart" uri="{C3380CC4-5D6E-409C-BE32-E72D297353CC}">
              <c16:uniqueId val="{00000000-B29F-48E8-A212-760252AC3D6A}"/>
            </c:ext>
          </c:extLst>
        </c:ser>
        <c:dLbls>
          <c:dLblPos val="t"/>
          <c:showLegendKey val="0"/>
          <c:showVal val="1"/>
          <c:showCatName val="0"/>
          <c:showSerName val="0"/>
          <c:showPercent val="0"/>
          <c:showBubbleSize val="0"/>
        </c:dLbls>
        <c:marker val="1"/>
        <c:smooth val="0"/>
        <c:axId val="604115247"/>
        <c:axId val="604129647"/>
      </c:lineChart>
      <c:catAx>
        <c:axId val="6041152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29647"/>
        <c:crosses val="autoZero"/>
        <c:auto val="1"/>
        <c:lblAlgn val="ctr"/>
        <c:lblOffset val="100"/>
        <c:noMultiLvlLbl val="0"/>
      </c:catAx>
      <c:valAx>
        <c:axId val="60412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1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[Marvel Movies.xlsx]Average worldwide gross!PivotTable1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world wide gross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worldwide gross'!$B$3</c:f>
              <c:strCache>
                <c:ptCount val="1"/>
                <c:pt idx="0">
                  <c:v>Total</c:v>
                </c:pt>
              </c:strCache>
            </c:strRef>
          </c:tx>
          <c:spPr>
            <a:solidFill>
              <a:schemeClr val="accent1"/>
            </a:solidFill>
            <a:ln>
              <a:noFill/>
            </a:ln>
            <a:effectLst/>
          </c:spPr>
          <c:invertIfNegative val="0"/>
          <c:cat>
            <c:strRef>
              <c:f>'Average worldwide gross'!$A$4:$A$15</c:f>
              <c:strCache>
                <c:ptCount val="11"/>
                <c:pt idx="0">
                  <c:v>Ant-Man</c:v>
                </c:pt>
                <c:pt idx="1">
                  <c:v>Avengers</c:v>
                </c:pt>
                <c:pt idx="2">
                  <c:v>Black Panther</c:v>
                </c:pt>
                <c:pt idx="3">
                  <c:v>Captain America</c:v>
                </c:pt>
                <c:pt idx="4">
                  <c:v>Deadpool</c:v>
                </c:pt>
                <c:pt idx="5">
                  <c:v>Dr Strange</c:v>
                </c:pt>
                <c:pt idx="6">
                  <c:v>Guardians</c:v>
                </c:pt>
                <c:pt idx="7">
                  <c:v>Iron Man</c:v>
                </c:pt>
                <c:pt idx="8">
                  <c:v>Spider-Man</c:v>
                </c:pt>
                <c:pt idx="9">
                  <c:v>Thor</c:v>
                </c:pt>
                <c:pt idx="10">
                  <c:v>Unique</c:v>
                </c:pt>
              </c:strCache>
            </c:strRef>
          </c:cat>
          <c:val>
            <c:numRef>
              <c:f>'Average worldwide gross'!$B$4:$B$15</c:f>
              <c:numCache>
                <c:formatCode>General</c:formatCode>
                <c:ptCount val="11"/>
                <c:pt idx="0">
                  <c:v>539</c:v>
                </c:pt>
                <c:pt idx="1">
                  <c:v>1938.75</c:v>
                </c:pt>
                <c:pt idx="2">
                  <c:v>1095.5</c:v>
                </c:pt>
                <c:pt idx="3">
                  <c:v>745</c:v>
                </c:pt>
                <c:pt idx="4">
                  <c:v>784.5</c:v>
                </c:pt>
                <c:pt idx="5">
                  <c:v>814</c:v>
                </c:pt>
                <c:pt idx="6">
                  <c:v>828</c:v>
                </c:pt>
                <c:pt idx="7">
                  <c:v>807</c:v>
                </c:pt>
                <c:pt idx="8">
                  <c:v>1150.25</c:v>
                </c:pt>
                <c:pt idx="9">
                  <c:v>672</c:v>
                </c:pt>
                <c:pt idx="10">
                  <c:v>518.33333333333337</c:v>
                </c:pt>
              </c:numCache>
            </c:numRef>
          </c:val>
          <c:extLst>
            <c:ext xmlns:c16="http://schemas.microsoft.com/office/drawing/2014/chart" uri="{C3380CC4-5D6E-409C-BE32-E72D297353CC}">
              <c16:uniqueId val="{00000000-5563-4993-8871-050ECAA39440}"/>
            </c:ext>
          </c:extLst>
        </c:ser>
        <c:dLbls>
          <c:showLegendKey val="0"/>
          <c:showVal val="0"/>
          <c:showCatName val="0"/>
          <c:showSerName val="0"/>
          <c:showPercent val="0"/>
          <c:showBubbleSize val="0"/>
        </c:dLbls>
        <c:gapWidth val="219"/>
        <c:overlap val="-27"/>
        <c:axId val="1888473215"/>
        <c:axId val="1888456895"/>
      </c:barChart>
      <c:catAx>
        <c:axId val="188847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456895"/>
        <c:crosses val="autoZero"/>
        <c:auto val="1"/>
        <c:lblAlgn val="ctr"/>
        <c:lblOffset val="100"/>
        <c:noMultiLvlLbl val="0"/>
      </c:catAx>
      <c:valAx>
        <c:axId val="188845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47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[Marvel Movies.xlsx]Top 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Movies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5'!$B$3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'Top 5'!$A$4:$A$9</c:f>
              <c:strCache>
                <c:ptCount val="5"/>
                <c:pt idx="0">
                  <c:v>Avengers: Age of Ultron</c:v>
                </c:pt>
                <c:pt idx="1">
                  <c:v>Avengers: End Game</c:v>
                </c:pt>
                <c:pt idx="2">
                  <c:v>Avengers: Infinity War</c:v>
                </c:pt>
                <c:pt idx="3">
                  <c:v>Spider-Man: No Way Home</c:v>
                </c:pt>
                <c:pt idx="4">
                  <c:v>The Avengers</c:v>
                </c:pt>
              </c:strCache>
            </c:strRef>
          </c:cat>
          <c:val>
            <c:numRef>
              <c:f>'Top 5'!$B$4:$B$9</c:f>
              <c:numCache>
                <c:formatCode>General</c:formatCode>
                <c:ptCount val="5"/>
                <c:pt idx="0">
                  <c:v>1395</c:v>
                </c:pt>
                <c:pt idx="1">
                  <c:v>2797</c:v>
                </c:pt>
                <c:pt idx="2">
                  <c:v>2048</c:v>
                </c:pt>
                <c:pt idx="3">
                  <c:v>1911</c:v>
                </c:pt>
                <c:pt idx="4">
                  <c:v>1515</c:v>
                </c:pt>
              </c:numCache>
            </c:numRef>
          </c:val>
          <c:extLst>
            <c:ext xmlns:c16="http://schemas.microsoft.com/office/drawing/2014/chart" uri="{C3380CC4-5D6E-409C-BE32-E72D297353CC}">
              <c16:uniqueId val="{00000000-6109-47FA-A820-A14C6B7C75B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[Marvel Movies.xlsx]Per timeline!PivotTable5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gross per timeline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'Per timeline'!$B$3</c:f>
              <c:strCache>
                <c:ptCount val="1"/>
                <c:pt idx="0">
                  <c:v>Total</c:v>
                </c:pt>
              </c:strCache>
            </c:strRef>
          </c:tx>
          <c:spPr>
            <a:ln w="28575" cap="rnd">
              <a:solidFill>
                <a:schemeClr val="accent1"/>
              </a:solidFill>
              <a:round/>
            </a:ln>
            <a:effectLst/>
          </c:spPr>
          <c:marker>
            <c:symbol val="none"/>
          </c:marker>
          <c:cat>
            <c:strRef>
              <c:f>'Per timeline'!$A$4:$A$7</c:f>
              <c:strCache>
                <c:ptCount val="3"/>
                <c:pt idx="0">
                  <c:v>2000's</c:v>
                </c:pt>
                <c:pt idx="1">
                  <c:v>2010's</c:v>
                </c:pt>
                <c:pt idx="2">
                  <c:v>2020's</c:v>
                </c:pt>
              </c:strCache>
            </c:strRef>
          </c:cat>
          <c:val>
            <c:numRef>
              <c:f>'Per timeline'!$B$4:$B$7</c:f>
              <c:numCache>
                <c:formatCode>General</c:formatCode>
                <c:ptCount val="3"/>
                <c:pt idx="0">
                  <c:v>850</c:v>
                </c:pt>
                <c:pt idx="1">
                  <c:v>23269</c:v>
                </c:pt>
                <c:pt idx="2">
                  <c:v>8180</c:v>
                </c:pt>
              </c:numCache>
            </c:numRef>
          </c:val>
          <c:smooth val="0"/>
          <c:extLst>
            <c:ext xmlns:c16="http://schemas.microsoft.com/office/drawing/2014/chart" uri="{C3380CC4-5D6E-409C-BE32-E72D297353CC}">
              <c16:uniqueId val="{00000000-001C-495A-B52F-B3E4615F8472}"/>
            </c:ext>
          </c:extLst>
        </c:ser>
        <c:dLbls>
          <c:showLegendKey val="0"/>
          <c:showVal val="0"/>
          <c:showCatName val="0"/>
          <c:showSerName val="0"/>
          <c:showPercent val="0"/>
          <c:showBubbleSize val="0"/>
        </c:dLbls>
        <c:smooth val="0"/>
        <c:axId val="604115247"/>
        <c:axId val="604129647"/>
      </c:lineChart>
      <c:catAx>
        <c:axId val="60411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29647"/>
        <c:crosses val="autoZero"/>
        <c:auto val="1"/>
        <c:lblAlgn val="ctr"/>
        <c:lblOffset val="100"/>
        <c:noMultiLvlLbl val="0"/>
      </c:catAx>
      <c:valAx>
        <c:axId val="60412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1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304800</xdr:colOff>
      <xdr:row>17</xdr:row>
      <xdr:rowOff>0</xdr:rowOff>
    </xdr:to>
    <xdr:graphicFrame macro="">
      <xdr:nvGraphicFramePr>
        <xdr:cNvPr id="2" name="Chart 1">
          <a:extLst>
            <a:ext uri="{FF2B5EF4-FFF2-40B4-BE49-F238E27FC236}">
              <a16:creationId xmlns:a16="http://schemas.microsoft.com/office/drawing/2014/main" id="{5BE8ABA8-669D-46C4-9836-BE9B34534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556260</xdr:colOff>
      <xdr:row>17</xdr:row>
      <xdr:rowOff>175260</xdr:rowOff>
    </xdr:from>
    <xdr:to>
      <xdr:col>15</xdr:col>
      <xdr:colOff>251460</xdr:colOff>
      <xdr:row>32</xdr:row>
      <xdr:rowOff>175260</xdr:rowOff>
    </xdr:to>
    <xdr:graphicFrame macro="">
      <xdr:nvGraphicFramePr>
        <xdr:cNvPr id="3" name="Chart 2">
          <a:extLst>
            <a:ext uri="{FF2B5EF4-FFF2-40B4-BE49-F238E27FC236}">
              <a16:creationId xmlns:a16="http://schemas.microsoft.com/office/drawing/2014/main" id="{46FE0C0A-B9B1-4948-A146-C0A4F7302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7</xdr:col>
      <xdr:colOff>304800</xdr:colOff>
      <xdr:row>33</xdr:row>
      <xdr:rowOff>0</xdr:rowOff>
    </xdr:to>
    <xdr:graphicFrame macro="">
      <xdr:nvGraphicFramePr>
        <xdr:cNvPr id="4" name="Chart 3">
          <a:extLst>
            <a:ext uri="{FF2B5EF4-FFF2-40B4-BE49-F238E27FC236}">
              <a16:creationId xmlns:a16="http://schemas.microsoft.com/office/drawing/2014/main" id="{255B8555-0288-401B-85F1-D1AAAAEF2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502920</xdr:colOff>
      <xdr:row>2</xdr:row>
      <xdr:rowOff>15240</xdr:rowOff>
    </xdr:from>
    <xdr:to>
      <xdr:col>10</xdr:col>
      <xdr:colOff>502920</xdr:colOff>
      <xdr:row>16</xdr:row>
      <xdr:rowOff>36195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5C1A74D1-D566-9DF0-D3D3-92EB8BBCBB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770120" y="381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83820</xdr:colOff>
      <xdr:row>2</xdr:row>
      <xdr:rowOff>7620</xdr:rowOff>
    </xdr:from>
    <xdr:to>
      <xdr:col>14</xdr:col>
      <xdr:colOff>83820</xdr:colOff>
      <xdr:row>16</xdr:row>
      <xdr:rowOff>28575</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EB41AE32-F659-0690-251B-3A598EF2C6B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789420" y="373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502920</xdr:colOff>
      <xdr:row>5</xdr:row>
      <xdr:rowOff>83820</xdr:rowOff>
    </xdr:from>
    <xdr:to>
      <xdr:col>10</xdr:col>
      <xdr:colOff>198120</xdr:colOff>
      <xdr:row>20</xdr:row>
      <xdr:rowOff>83820</xdr:rowOff>
    </xdr:to>
    <xdr:graphicFrame macro="">
      <xdr:nvGraphicFramePr>
        <xdr:cNvPr id="2" name="Chart 1">
          <a:extLst>
            <a:ext uri="{FF2B5EF4-FFF2-40B4-BE49-F238E27FC236}">
              <a16:creationId xmlns:a16="http://schemas.microsoft.com/office/drawing/2014/main" id="{9A482171-93F7-9911-E7C7-DC1187DA6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441960</xdr:colOff>
      <xdr:row>5</xdr:row>
      <xdr:rowOff>83820</xdr:rowOff>
    </xdr:from>
    <xdr:to>
      <xdr:col>10</xdr:col>
      <xdr:colOff>137160</xdr:colOff>
      <xdr:row>20</xdr:row>
      <xdr:rowOff>83820</xdr:rowOff>
    </xdr:to>
    <xdr:graphicFrame macro="">
      <xdr:nvGraphicFramePr>
        <xdr:cNvPr id="2" name="Chart 1">
          <a:extLst>
            <a:ext uri="{FF2B5EF4-FFF2-40B4-BE49-F238E27FC236}">
              <a16:creationId xmlns:a16="http://schemas.microsoft.com/office/drawing/2014/main" id="{7C62B390-02DD-7397-8A62-4D4DCBA6A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5</xdr:row>
      <xdr:rowOff>83820</xdr:rowOff>
    </xdr:from>
    <xdr:to>
      <xdr:col>10</xdr:col>
      <xdr:colOff>533400</xdr:colOff>
      <xdr:row>20</xdr:row>
      <xdr:rowOff>83820</xdr:rowOff>
    </xdr:to>
    <xdr:graphicFrame macro="">
      <xdr:nvGraphicFramePr>
        <xdr:cNvPr id="2" name="Chart 1">
          <a:extLst>
            <a:ext uri="{FF2B5EF4-FFF2-40B4-BE49-F238E27FC236}">
              <a16:creationId xmlns:a16="http://schemas.microsoft.com/office/drawing/2014/main" id="{95E242BD-05FC-3925-362F-54E05CE8F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898.650702314815" createdVersion="8" refreshedVersion="8" minRefreshableVersion="3" recordCount="36" xr:uid="{AECC835C-84AB-4FD8-8C14-BFCE51F68D53}">
  <cacheSource type="worksheet">
    <worksheetSource ref="A1:S37" sheet="Marvel Movies"/>
  </cacheSource>
  <cacheFields count="18">
    <cacheField name="movie" numFmtId="0">
      <sharedItems/>
    </cacheField>
    <cacheField name="category" numFmtId="0">
      <sharedItems count="11">
        <s v="Ant-Man"/>
        <s v="Avengers"/>
        <s v="Black Panther"/>
        <s v="Unique"/>
        <s v="Captain America"/>
        <s v="Dr Strange"/>
        <s v="Guardians"/>
        <s v="Iron Man"/>
        <s v="Spider-Man"/>
        <s v="Thor"/>
        <s v="Deadpool"/>
      </sharedItems>
    </cacheField>
    <cacheField name="year" numFmtId="0">
      <sharedItems containsSemiMixedTypes="0" containsString="0" containsNumber="1" containsInteger="1" minValue="2008" maxValue="2023" count="14">
        <n v="2015"/>
        <n v="2018"/>
        <n v="2019"/>
        <n v="2022"/>
        <n v="2021"/>
        <n v="2011"/>
        <n v="2016"/>
        <n v="2014"/>
        <n v="2017"/>
        <n v="2008"/>
        <n v="2010"/>
        <n v="2013"/>
        <n v="2012"/>
        <n v="2023"/>
      </sharedItems>
    </cacheField>
    <cacheField name="worldwide_gross" numFmtId="0">
      <sharedItems containsSemiMixedTypes="0" containsString="0" containsNumber="1" containsInteger="1" minValue="265" maxValue="2797"/>
    </cacheField>
    <cacheField name="budget_recovered" numFmtId="9">
      <sharedItems containsSemiMixedTypes="0" containsString="0" containsNumber="1" minValue="1.9" maxValue="13.5"/>
    </cacheField>
    <cacheField name="critics  score" numFmtId="9">
      <sharedItems containsSemiMixedTypes="0" containsString="0" containsNumber="1" minValue="0.47" maxValue="0.96"/>
    </cacheField>
    <cacheField name="audience  score" numFmtId="9">
      <sharedItems containsSemiMixedTypes="0" containsString="0" containsNumber="1" minValue="0.45" maxValue="0.96"/>
    </cacheField>
    <cacheField name="audience vs critics  deviance" numFmtId="9">
      <sharedItems containsSemiMixedTypes="0" containsString="0" containsNumber="1" minValue="-0.26" maxValue="0.36"/>
    </cacheField>
    <cacheField name="budget" numFmtId="0">
      <sharedItems containsSemiMixedTypes="0" containsString="0" containsNumber="1" minValue="58" maxValue="400"/>
    </cacheField>
    <cacheField name="domestic_gross" numFmtId="0">
      <sharedItems containsSemiMixedTypes="0" containsString="0" containsNumber="1" containsInteger="1" minValue="134" maxValue="858"/>
    </cacheField>
    <cacheField name="international_gross" numFmtId="0">
      <sharedItems containsSemiMixedTypes="0" containsString="0" containsNumber="1" containsInteger="1" minValue="130" maxValue="1939"/>
    </cacheField>
    <cacheField name="opening_weekend" numFmtId="0">
      <sharedItems containsSemiMixedTypes="0" containsString="0" containsNumber="1" minValue="55" maxValue="357"/>
    </cacheField>
    <cacheField name="second_weekend" numFmtId="0">
      <sharedItems containsSemiMixedTypes="0" containsString="0" containsNumber="1" minValue="22.1" maxValue="147"/>
    </cacheField>
    <cacheField name="1st vs 2nd weekend drop off" numFmtId="9">
      <sharedItems containsSemiMixedTypes="0" containsString="0" containsNumber="1" minValue="-0.69" maxValue="-0.45"/>
    </cacheField>
    <cacheField name="opening_weekend2" numFmtId="0">
      <sharedItems containsSemiMixedTypes="0" containsString="0" containsNumber="1" minValue="0.15970000000000001" maxValue="48.6"/>
    </cacheField>
    <cacheField name="gross from domestic" numFmtId="10">
      <sharedItems containsSemiMixedTypes="0" containsString="0" containsNumber="1" minValue="0.307" maxValue="0.55900000000000005"/>
    </cacheField>
    <cacheField name="gross from international" numFmtId="10">
      <sharedItems containsSemiMixedTypes="0" containsString="0" containsNumber="1" minValue="0.441" maxValue="0.69299999999999995"/>
    </cacheField>
    <cacheField name="budget opening weekend" numFmtId="10">
      <sharedItems containsSemiMixedTypes="0" containsString="0" containsNumber="1" minValue="0.32400000000000001" maxValue="2.2827999999999999"/>
    </cacheField>
  </cacheFields>
  <extLst>
    <ext xmlns:x14="http://schemas.microsoft.com/office/spreadsheetml/2009/9/main" uri="{725AE2AE-9491-48be-B2B4-4EB974FC3084}">
      <x14:pivotCacheDefinition pivotCacheId="1853550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898.657350000001" createdVersion="8" refreshedVersion="8" minRefreshableVersion="3" recordCount="5" xr:uid="{F979C101-F9BC-45BA-8A92-F2A3CFA5D11A}">
  <cacheSource type="worksheet">
    <worksheetSource ref="U1:V6" sheet="Marvel Movies"/>
  </cacheSource>
  <cacheFields count="2">
    <cacheField name="Top 5(movies)" numFmtId="0">
      <sharedItems count="5">
        <s v="Avengers: End Game"/>
        <s v="Avengers: Infinity War"/>
        <s v="Spider-Man: No Way Home"/>
        <s v="The Avengers"/>
        <s v="Avengers: Age of Ultron"/>
      </sharedItems>
    </cacheField>
    <cacheField name="Top 5(gross" numFmtId="0">
      <sharedItems containsSemiMixedTypes="0" containsString="0" containsNumber="1" containsInteger="1" minValue="1395" maxValue="27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898.669014814812" createdVersion="8" refreshedVersion="8" minRefreshableVersion="3" recordCount="36" xr:uid="{B9807925-B143-4DA8-9200-8E207471C89E}">
  <cacheSource type="worksheet">
    <worksheetSource ref="D1:E37" sheet="Marvel Movies"/>
  </cacheSource>
  <cacheFields count="2">
    <cacheField name="timeline" numFmtId="0">
      <sharedItems count="3">
        <s v="2010's"/>
        <s v="2020's"/>
        <s v="2000's"/>
      </sharedItems>
    </cacheField>
    <cacheField name="worldwide_gross" numFmtId="0">
      <sharedItems containsSemiMixedTypes="0" containsString="0" containsNumber="1" containsInteger="1" minValue="265" maxValue="27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s v="Ant-Man  "/>
    <x v="0"/>
    <x v="0"/>
    <n v="518"/>
    <n v="3.98"/>
    <n v="0.83"/>
    <n v="0.85"/>
    <n v="-0.02"/>
    <n v="130"/>
    <n v="180"/>
    <n v="338"/>
    <n v="57"/>
    <n v="24"/>
    <n v="-0.57999999999999996"/>
    <n v="31.8"/>
    <n v="0.34699999999999998"/>
    <n v="0.65300000000000002"/>
    <n v="0.438"/>
  </r>
  <r>
    <s v="Ant-Man &amp; The Wasp"/>
    <x v="0"/>
    <x v="1"/>
    <n v="623"/>
    <n v="4.79"/>
    <n v="0.87"/>
    <n v="0.8"/>
    <n v="7.0000000000000007E-2"/>
    <n v="130"/>
    <n v="216"/>
    <n v="406"/>
    <n v="75.8"/>
    <n v="29"/>
    <n v="-0.62"/>
    <n v="35"/>
    <n v="0.34699999999999998"/>
    <n v="0.65200000000000002"/>
    <n v="0.58299999999999996"/>
  </r>
  <r>
    <s v="Avengers: Age of Ultron"/>
    <x v="1"/>
    <x v="0"/>
    <n v="1395"/>
    <n v="3.82"/>
    <n v="0.76"/>
    <n v="0.82"/>
    <n v="-0.06"/>
    <n v="365"/>
    <n v="459"/>
    <n v="936"/>
    <n v="191"/>
    <n v="77"/>
    <n v="-0.6"/>
    <n v="41.7"/>
    <n v="0.32900000000000001"/>
    <n v="0.67100000000000004"/>
    <n v="0.52300000000000002"/>
  </r>
  <r>
    <s v="Avengers: End Game"/>
    <x v="1"/>
    <x v="2"/>
    <n v="2797"/>
    <n v="6.99"/>
    <n v="0.94"/>
    <n v="0.9"/>
    <n v="0.04"/>
    <n v="400"/>
    <n v="858"/>
    <n v="1939"/>
    <n v="357"/>
    <n v="147"/>
    <n v="-0.59"/>
    <n v="41.6"/>
    <n v="0.307"/>
    <n v="0.69299999999999995"/>
    <n v="0.89300000000000002"/>
  </r>
  <r>
    <s v="Avengers: Infinity War"/>
    <x v="1"/>
    <x v="1"/>
    <n v="2048"/>
    <n v="6.83"/>
    <n v="0.85"/>
    <n v="0.91"/>
    <n v="-0.06"/>
    <n v="300"/>
    <n v="678"/>
    <n v="1369"/>
    <n v="257"/>
    <n v="114"/>
    <n v="-0.56000000000000005"/>
    <n v="38"/>
    <n v="0.33100000000000002"/>
    <n v="0.66800000000000004"/>
    <n v="0.85699999999999998"/>
  </r>
  <r>
    <s v="Black Panther"/>
    <x v="2"/>
    <x v="1"/>
    <n v="1336"/>
    <n v="6.68"/>
    <n v="0.96"/>
    <n v="0.79"/>
    <n v="0.17"/>
    <n v="200"/>
    <n v="700"/>
    <n v="636"/>
    <n v="202"/>
    <n v="111"/>
    <n v="-0.45"/>
    <n v="28.9"/>
    <n v="0.52400000000000002"/>
    <n v="0.47599999999999998"/>
    <n v="1.01"/>
  </r>
  <r>
    <s v="Black Panther 2"/>
    <x v="2"/>
    <x v="3"/>
    <n v="855"/>
    <n v="3.42"/>
    <n v="0.84"/>
    <n v="0.94"/>
    <n v="-0.1"/>
    <n v="250"/>
    <n v="453"/>
    <n v="401"/>
    <n v="181"/>
    <n v="66"/>
    <n v="-0.64"/>
    <n v="48.6"/>
    <n v="0.53"/>
    <n v="0.46899999999999997"/>
    <n v="0.72399999999999998"/>
  </r>
  <r>
    <s v="Black Widow"/>
    <x v="3"/>
    <x v="4"/>
    <n v="379"/>
    <n v="1.9"/>
    <n v="0.79"/>
    <n v="0.8"/>
    <n v="-0.01"/>
    <n v="200"/>
    <n v="183"/>
    <n v="196"/>
    <n v="80.3"/>
    <n v="25.8"/>
    <n v="-0.68"/>
    <n v="43.8"/>
    <n v="0.48299999999999998"/>
    <n v="0.51700000000000002"/>
    <n v="0.40200000000000002"/>
  </r>
  <r>
    <s v="Captain America"/>
    <x v="4"/>
    <x v="5"/>
    <n v="370"/>
    <n v="2.64"/>
    <n v="0.79"/>
    <n v="0.75"/>
    <n v="0.04"/>
    <n v="140"/>
    <n v="176"/>
    <n v="193"/>
    <n v="65"/>
    <n v="25"/>
    <n v="-0.62"/>
    <n v="36.799999999999997"/>
    <n v="0.47599999999999998"/>
    <n v="0.52200000000000002"/>
    <n v="0.46400000000000002"/>
  </r>
  <r>
    <s v="Captain America: Civil War"/>
    <x v="4"/>
    <x v="6"/>
    <n v="1151"/>
    <n v="4.5999999999999996"/>
    <n v="0.9"/>
    <n v="0.89"/>
    <n v="0.01"/>
    <n v="250"/>
    <n v="408"/>
    <n v="743"/>
    <n v="179"/>
    <n v="72.599999999999994"/>
    <n v="-0.59"/>
    <n v="43.9"/>
    <n v="0.35399999999999998"/>
    <n v="0.64600000000000002"/>
    <n v="0.71599999999999997"/>
  </r>
  <r>
    <s v="Captain America: Winter Soldier"/>
    <x v="4"/>
    <x v="7"/>
    <n v="714"/>
    <n v="4.2"/>
    <n v="0.9"/>
    <n v="0.92"/>
    <n v="-0.02"/>
    <n v="170"/>
    <n v="259"/>
    <n v="454"/>
    <n v="95"/>
    <n v="41"/>
    <n v="-0.56999999999999995"/>
    <n v="36.6"/>
    <n v="0.36299999999999999"/>
    <n v="0.63600000000000001"/>
    <n v="0.55900000000000005"/>
  </r>
  <r>
    <s v="Captain Marvel"/>
    <x v="3"/>
    <x v="2"/>
    <n v="1129"/>
    <n v="6.45"/>
    <n v="0.79"/>
    <n v="0.45"/>
    <n v="0.34"/>
    <n v="175"/>
    <n v="426"/>
    <n v="702"/>
    <n v="153"/>
    <n v="67.900000000000006"/>
    <n v="-0.56000000000000005"/>
    <n v="35.9"/>
    <n v="0.377"/>
    <n v="0.622"/>
    <n v="0.874"/>
  </r>
  <r>
    <s v="Dr Strange"/>
    <x v="5"/>
    <x v="6"/>
    <n v="676"/>
    <n v="4.0999999999999996"/>
    <n v="0.89"/>
    <n v="0.86"/>
    <n v="0.03"/>
    <n v="165"/>
    <n v="232"/>
    <n v="443"/>
    <n v="85"/>
    <n v="42.9"/>
    <n v="-0.5"/>
    <n v="36.6"/>
    <n v="0.34300000000000003"/>
    <n v="0.65500000000000003"/>
    <n v="0.51500000000000001"/>
  </r>
  <r>
    <s v="Dr Strange: Multiverse of Madness"/>
    <x v="5"/>
    <x v="3"/>
    <n v="952"/>
    <n v="4.76"/>
    <n v="0.74"/>
    <n v="0.77"/>
    <n v="-0.03"/>
    <n v="200"/>
    <n v="411"/>
    <n v="540"/>
    <n v="187"/>
    <n v="61.7"/>
    <n v="-0.67"/>
    <n v="45.6"/>
    <n v="0.432"/>
    <n v="0.56699999999999995"/>
    <n v="0.93500000000000005"/>
  </r>
  <r>
    <s v="Eternals"/>
    <x v="3"/>
    <x v="4"/>
    <n v="402"/>
    <n v="2.0099999999999998"/>
    <n v="0.47"/>
    <n v="0.73"/>
    <n v="-0.26"/>
    <n v="200"/>
    <n v="164"/>
    <n v="237"/>
    <n v="71"/>
    <n v="26.8"/>
    <n v="-0.62"/>
    <n v="43.2"/>
    <n v="0.40799999999999997"/>
    <n v="0.59"/>
    <n v="0.35499999999999998"/>
  </r>
  <r>
    <s v="Guardians of the Galaxy"/>
    <x v="6"/>
    <x v="7"/>
    <n v="770"/>
    <n v="4.53"/>
    <n v="0.92"/>
    <n v="0.92"/>
    <n v="0"/>
    <n v="170"/>
    <n v="333"/>
    <n v="437"/>
    <n v="94"/>
    <n v="42.1"/>
    <n v="-0.55000000000000004"/>
    <n v="43.3"/>
    <n v="0.432"/>
    <n v="0.56799999999999995"/>
    <n v="0.55300000000000005"/>
  </r>
  <r>
    <s v="Guardians of the Galaxy 2"/>
    <x v="6"/>
    <x v="8"/>
    <n v="869"/>
    <n v="4.3499999999999996"/>
    <n v="0.85"/>
    <n v="0.87"/>
    <n v="-0.02"/>
    <n v="200"/>
    <n v="389"/>
    <n v="479"/>
    <n v="146"/>
    <n v="65"/>
    <n v="-0.55000000000000004"/>
    <n v="37.6"/>
    <n v="0.44800000000000001"/>
    <n v="0.55100000000000005"/>
    <n v="0.73"/>
  </r>
  <r>
    <s v="Incredible Hulk"/>
    <x v="3"/>
    <x v="9"/>
    <n v="265"/>
    <n v="1.93"/>
    <n v="0.67"/>
    <n v="0.69"/>
    <n v="-0.02"/>
    <n v="137.5"/>
    <n v="134"/>
    <n v="130"/>
    <n v="55"/>
    <n v="22.1"/>
    <n v="-0.6"/>
    <n v="41.1"/>
    <n v="0.50600000000000001"/>
    <n v="0.49099999999999999"/>
    <n v="0.4"/>
  </r>
  <r>
    <s v="Iron Man"/>
    <x v="7"/>
    <x v="9"/>
    <n v="585"/>
    <n v="3.15"/>
    <n v="0.94"/>
    <n v="0.91"/>
    <n v="0.03"/>
    <n v="186"/>
    <n v="318"/>
    <n v="266"/>
    <n v="102"/>
    <n v="51.2"/>
    <n v="-0.5"/>
    <n v="32.1"/>
    <n v="0.54400000000000004"/>
    <n v="0.45500000000000002"/>
    <n v="0.54800000000000004"/>
  </r>
  <r>
    <s v="Iron Man 2"/>
    <x v="7"/>
    <x v="10"/>
    <n v="621"/>
    <n v="3.65"/>
    <n v="0.71"/>
    <n v="0.71"/>
    <n v="0"/>
    <n v="170"/>
    <n v="312"/>
    <n v="308"/>
    <n v="128"/>
    <n v="52"/>
    <n v="-0.59"/>
    <n v="41"/>
    <n v="0.502"/>
    <n v="0.496"/>
    <n v="0.753"/>
  </r>
  <r>
    <s v="Iron Man 3"/>
    <x v="7"/>
    <x v="11"/>
    <n v="1215"/>
    <n v="6.08"/>
    <n v="0.79"/>
    <n v="0.78"/>
    <n v="0.01"/>
    <n v="200"/>
    <n v="408"/>
    <n v="806"/>
    <n v="174"/>
    <n v="72.5"/>
    <n v="-0.57999999999999996"/>
    <n v="42.6"/>
    <n v="0.33600000000000002"/>
    <n v="0.66300000000000003"/>
    <n v="0.87"/>
  </r>
  <r>
    <s v="Shang-Chi"/>
    <x v="3"/>
    <x v="4"/>
    <n v="432"/>
    <n v="2.88"/>
    <n v="0.91"/>
    <n v="0.93"/>
    <n v="-0.02"/>
    <n v="150"/>
    <n v="224"/>
    <n v="207"/>
    <n v="75"/>
    <n v="34.700000000000003"/>
    <n v="-0.54"/>
    <n v="33.6"/>
    <n v="0.51900000000000002"/>
    <n v="0.47899999999999998"/>
    <n v="0.5"/>
  </r>
  <r>
    <s v="Spider-Man: Far from Home"/>
    <x v="8"/>
    <x v="2"/>
    <n v="1132"/>
    <n v="7.08"/>
    <n v="0.9"/>
    <n v="0.93"/>
    <n v="-0.03"/>
    <n v="160"/>
    <n v="390"/>
    <n v="741"/>
    <n v="93"/>
    <n v="45.3"/>
    <n v="-0.51"/>
    <n v="23.7"/>
    <n v="0.34499999999999997"/>
    <n v="0.65500000000000003"/>
    <n v="0.58099999999999996"/>
  </r>
  <r>
    <s v="Spider-Man: Homecoming"/>
    <x v="8"/>
    <x v="8"/>
    <n v="878"/>
    <n v="5.0199999999999996"/>
    <n v="0.92"/>
    <n v="0.87"/>
    <n v="0.05"/>
    <n v="175"/>
    <n v="334"/>
    <n v="544"/>
    <n v="117"/>
    <n v="44"/>
    <n v="-0.62"/>
    <n v="35"/>
    <n v="0.38"/>
    <n v="0.62"/>
    <n v="0.66900000000000004"/>
  </r>
  <r>
    <s v="Spider-Man: No Way Home"/>
    <x v="8"/>
    <x v="4"/>
    <n v="1911"/>
    <n v="9.56"/>
    <n v="0.93"/>
    <n v="0.96"/>
    <n v="-0.03"/>
    <n v="200"/>
    <n v="814"/>
    <n v="1097"/>
    <n v="260"/>
    <n v="84"/>
    <n v="-0.68"/>
    <n v="32"/>
    <n v="0.42599999999999999"/>
    <n v="0.57399999999999995"/>
    <n v="1.3"/>
  </r>
  <r>
    <s v="The Avengers"/>
    <x v="1"/>
    <x v="12"/>
    <n v="1515"/>
    <n v="6.73"/>
    <n v="0.91"/>
    <n v="0.91"/>
    <n v="0"/>
    <n v="225"/>
    <n v="623"/>
    <n v="891"/>
    <n v="207"/>
    <n v="103"/>
    <n v="-0.5"/>
    <n v="33.299999999999997"/>
    <n v="0.41099999999999998"/>
    <n v="0.58799999999999997"/>
    <n v="0.92"/>
  </r>
  <r>
    <s v="Thor: Dark World"/>
    <x v="9"/>
    <x v="11"/>
    <n v="644"/>
    <n v="4.29"/>
    <n v="0.66"/>
    <n v="0.75"/>
    <n v="-0.09"/>
    <n v="150"/>
    <n v="206"/>
    <n v="438"/>
    <n v="85"/>
    <n v="36.5"/>
    <n v="-0.56999999999999995"/>
    <n v="41.5"/>
    <n v="0.32"/>
    <n v="0.68"/>
    <n v="0.56699999999999995"/>
  </r>
  <r>
    <s v="Thor: Love &amp; Thunder"/>
    <x v="9"/>
    <x v="3"/>
    <n v="745"/>
    <n v="2.98"/>
    <n v="0.64"/>
    <n v="0.63"/>
    <n v="0.01"/>
    <n v="250"/>
    <n v="343"/>
    <n v="403"/>
    <n v="144"/>
    <n v="46.6"/>
    <n v="-0.68"/>
    <n v="42"/>
    <n v="0.46"/>
    <n v="0.54100000000000004"/>
    <n v="0.57599999999999996"/>
  </r>
  <r>
    <s v="Thor: Ragnarok"/>
    <x v="9"/>
    <x v="8"/>
    <n v="850"/>
    <n v="4.72"/>
    <n v="0.93"/>
    <n v="0.87"/>
    <n v="0.06"/>
    <n v="180"/>
    <n v="315"/>
    <n v="535"/>
    <n v="122"/>
    <n v="57"/>
    <n v="-0.53"/>
    <n v="39"/>
    <n v="0.371"/>
    <n v="0.629"/>
    <n v="0.67800000000000005"/>
  </r>
  <r>
    <s v="Thor"/>
    <x v="9"/>
    <x v="5"/>
    <n v="449"/>
    <n v="2.99"/>
    <n v="0.77"/>
    <n v="0.76"/>
    <n v="0.01"/>
    <n v="150"/>
    <n v="181"/>
    <n v="268"/>
    <n v="65"/>
    <n v="34"/>
    <n v="-0.48"/>
    <n v="36.299999999999997"/>
    <n v="0.40300000000000002"/>
    <n v="0.59699999999999998"/>
    <n v="0.433"/>
  </r>
  <r>
    <s v="Ant-Man and the Wasp: Quantumania"/>
    <x v="0"/>
    <x v="13"/>
    <n v="476"/>
    <n v="1.9"/>
    <n v="0.47"/>
    <n v="0.83"/>
    <n v="0.36"/>
    <n v="250"/>
    <n v="213"/>
    <n v="263"/>
    <n v="104"/>
    <n v="32"/>
    <n v="-0.69"/>
    <n v="21.8"/>
    <n v="0.44800000000000001"/>
    <n v="0.55200000000000005"/>
    <n v="0.41599999999999998"/>
  </r>
  <r>
    <s v="Guardians of the Galaxy Vol. 3"/>
    <x v="6"/>
    <x v="13"/>
    <n v="845"/>
    <n v="3.38"/>
    <n v="0.82"/>
    <n v="0.95"/>
    <n v="-0.13"/>
    <n v="250"/>
    <n v="358"/>
    <n v="487"/>
    <n v="118"/>
    <n v="49"/>
    <n v="-0.59"/>
    <n v="14"/>
    <n v="0.42399999999999999"/>
    <n v="0.57599999999999996"/>
    <n v="0.47199999999999998"/>
  </r>
  <r>
    <s v="The Marvels"/>
    <x v="3"/>
    <x v="13"/>
    <n v="503"/>
    <n v="2.0099999999999998"/>
    <n v="0.56999999999999995"/>
    <n v="0.73"/>
    <n v="-0.16"/>
    <n v="250"/>
    <n v="215"/>
    <n v="288"/>
    <n v="81"/>
    <n v="27"/>
    <n v="-0.67"/>
    <n v="16.100000000000001"/>
    <n v="0.42699999999999999"/>
    <n v="0.57299999999999995"/>
    <n v="0.32400000000000001"/>
  </r>
  <r>
    <s v="Spider-Man: Across the Spider-Verse"/>
    <x v="8"/>
    <x v="13"/>
    <n v="680"/>
    <n v="6.81"/>
    <n v="0.96"/>
    <n v="0.94"/>
    <n v="0.02"/>
    <n v="100"/>
    <n v="380"/>
    <n v="300"/>
    <n v="120"/>
    <n v="52"/>
    <n v="-0.56999999999999995"/>
    <n v="17.600000000000001"/>
    <n v="0.55900000000000005"/>
    <n v="0.441"/>
    <n v="1.2"/>
  </r>
  <r>
    <s v="Deadpool"/>
    <x v="10"/>
    <x v="6"/>
    <n v="783"/>
    <n v="13.5"/>
    <n v="0.85"/>
    <n v="0.9"/>
    <n v="0.05"/>
    <n v="58"/>
    <n v="363"/>
    <n v="420"/>
    <n v="132.4"/>
    <n v="56.5"/>
    <n v="-0.56999999999999995"/>
    <n v="0.1691"/>
    <n v="0.46360000000000001"/>
    <n v="0.53639999999999999"/>
    <n v="2.2827999999999999"/>
  </r>
  <r>
    <s v="Deadpool 2"/>
    <x v="10"/>
    <x v="1"/>
    <n v="786"/>
    <n v="7.14"/>
    <n v="0.84"/>
    <n v="0.85"/>
    <n v="0.01"/>
    <n v="110"/>
    <n v="324"/>
    <n v="462"/>
    <n v="125.5"/>
    <n v="43.5"/>
    <n v="-0.65"/>
    <n v="0.15970000000000001"/>
    <n v="0.41220000000000001"/>
    <n v="0.58779999999999999"/>
    <n v="1.140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797"/>
  </r>
  <r>
    <x v="1"/>
    <n v="2048"/>
  </r>
  <r>
    <x v="2"/>
    <n v="1911"/>
  </r>
  <r>
    <x v="3"/>
    <n v="1515"/>
  </r>
  <r>
    <x v="4"/>
    <n v="13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n v="518"/>
  </r>
  <r>
    <x v="0"/>
    <n v="623"/>
  </r>
  <r>
    <x v="0"/>
    <n v="1395"/>
  </r>
  <r>
    <x v="0"/>
    <n v="2797"/>
  </r>
  <r>
    <x v="0"/>
    <n v="2048"/>
  </r>
  <r>
    <x v="0"/>
    <n v="1336"/>
  </r>
  <r>
    <x v="1"/>
    <n v="855"/>
  </r>
  <r>
    <x v="1"/>
    <n v="379"/>
  </r>
  <r>
    <x v="0"/>
    <n v="370"/>
  </r>
  <r>
    <x v="0"/>
    <n v="1151"/>
  </r>
  <r>
    <x v="0"/>
    <n v="714"/>
  </r>
  <r>
    <x v="0"/>
    <n v="1129"/>
  </r>
  <r>
    <x v="0"/>
    <n v="676"/>
  </r>
  <r>
    <x v="1"/>
    <n v="952"/>
  </r>
  <r>
    <x v="1"/>
    <n v="402"/>
  </r>
  <r>
    <x v="0"/>
    <n v="770"/>
  </r>
  <r>
    <x v="0"/>
    <n v="869"/>
  </r>
  <r>
    <x v="2"/>
    <n v="265"/>
  </r>
  <r>
    <x v="2"/>
    <n v="585"/>
  </r>
  <r>
    <x v="0"/>
    <n v="621"/>
  </r>
  <r>
    <x v="0"/>
    <n v="1215"/>
  </r>
  <r>
    <x v="1"/>
    <n v="432"/>
  </r>
  <r>
    <x v="0"/>
    <n v="1132"/>
  </r>
  <r>
    <x v="0"/>
    <n v="878"/>
  </r>
  <r>
    <x v="1"/>
    <n v="1911"/>
  </r>
  <r>
    <x v="0"/>
    <n v="1515"/>
  </r>
  <r>
    <x v="0"/>
    <n v="644"/>
  </r>
  <r>
    <x v="1"/>
    <n v="745"/>
  </r>
  <r>
    <x v="0"/>
    <n v="850"/>
  </r>
  <r>
    <x v="0"/>
    <n v="449"/>
  </r>
  <r>
    <x v="1"/>
    <n v="476"/>
  </r>
  <r>
    <x v="1"/>
    <n v="845"/>
  </r>
  <r>
    <x v="1"/>
    <n v="503"/>
  </r>
  <r>
    <x v="1"/>
    <n v="680"/>
  </r>
  <r>
    <x v="0"/>
    <n v="783"/>
  </r>
  <r>
    <x v="0"/>
    <n v="7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1E0D37-E2A9-468D-9CB8-8C233E295C57}"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5" firstHeaderRow="1" firstDataRow="1" firstDataCol="1"/>
  <pivotFields count="18">
    <pivotField showAll="0"/>
    <pivotField axis="axisRow" showAll="0">
      <items count="12">
        <item x="0"/>
        <item x="1"/>
        <item x="2"/>
        <item x="4"/>
        <item x="10"/>
        <item x="5"/>
        <item x="6"/>
        <item x="7"/>
        <item x="8"/>
        <item x="9"/>
        <item x="3"/>
        <item t="default"/>
      </items>
    </pivotField>
    <pivotField showAll="0">
      <items count="15">
        <item x="9"/>
        <item x="10"/>
        <item x="5"/>
        <item x="12"/>
        <item x="11"/>
        <item x="7"/>
        <item x="0"/>
        <item x="6"/>
        <item x="8"/>
        <item x="1"/>
        <item x="2"/>
        <item x="4"/>
        <item x="3"/>
        <item x="13"/>
        <item t="default"/>
      </items>
    </pivotField>
    <pivotField dataField="1" showAll="0"/>
    <pivotField numFmtId="9" showAll="0"/>
    <pivotField numFmtId="9" showAll="0"/>
    <pivotField numFmtId="9" showAll="0"/>
    <pivotField numFmtId="9" showAll="0"/>
    <pivotField showAll="0"/>
    <pivotField showAll="0"/>
    <pivotField showAll="0"/>
    <pivotField showAll="0"/>
    <pivotField showAll="0"/>
    <pivotField numFmtId="9" showAll="0"/>
    <pivotField showAll="0"/>
    <pivotField numFmtId="10" showAll="0"/>
    <pivotField numFmtId="10" showAll="0"/>
    <pivotField numFmtId="10" showAll="0"/>
  </pivotFields>
  <rowFields count="1">
    <field x="1"/>
  </rowFields>
  <rowItems count="12">
    <i>
      <x/>
    </i>
    <i>
      <x v="1"/>
    </i>
    <i>
      <x v="2"/>
    </i>
    <i>
      <x v="3"/>
    </i>
    <i>
      <x v="4"/>
    </i>
    <i>
      <x v="5"/>
    </i>
    <i>
      <x v="6"/>
    </i>
    <i>
      <x v="7"/>
    </i>
    <i>
      <x v="8"/>
    </i>
    <i>
      <x v="9"/>
    </i>
    <i>
      <x v="10"/>
    </i>
    <i t="grand">
      <x/>
    </i>
  </rowItems>
  <colItems count="1">
    <i/>
  </colItems>
  <dataFields count="1">
    <dataField name="Average of worldwide_gross" fld="3"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F4918D-A0BD-4F03-86C2-E3E132112FC8}"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
    <pivotField axis="axisRow" showAll="0">
      <items count="6">
        <item x="4"/>
        <item x="0"/>
        <item x="1"/>
        <item x="2"/>
        <item x="3"/>
        <item t="default"/>
      </items>
    </pivotField>
    <pivotField dataField="1" showAll="0"/>
  </pivotFields>
  <rowFields count="1">
    <field x="0"/>
  </rowFields>
  <rowItems count="6">
    <i>
      <x/>
    </i>
    <i>
      <x v="1"/>
    </i>
    <i>
      <x v="2"/>
    </i>
    <i>
      <x v="3"/>
    </i>
    <i>
      <x v="4"/>
    </i>
    <i t="grand">
      <x/>
    </i>
  </rowItems>
  <colItems count="1">
    <i/>
  </colItems>
  <dataFields count="1">
    <dataField name="Sum of Top 5(gross" fld="1" baseField="0" baseItem="0"/>
  </dataField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91CBB4-477E-4E0F-BECF-13672C1868AF}"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
    <pivotField axis="axisRow" showAll="0">
      <items count="4">
        <item x="2"/>
        <item x="0"/>
        <item x="1"/>
        <item t="default"/>
      </items>
    </pivotField>
    <pivotField dataField="1" showAll="0"/>
  </pivotFields>
  <rowFields count="1">
    <field x="0"/>
  </rowFields>
  <rowItems count="4">
    <i>
      <x/>
    </i>
    <i>
      <x v="1"/>
    </i>
    <i>
      <x v="2"/>
    </i>
    <i t="grand">
      <x/>
    </i>
  </rowItems>
  <colItems count="1">
    <i/>
  </colItems>
  <dataFields count="1">
    <dataField name="Sum of worldwide_gross" fld="1"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A21DBA9-A378-4695-AE8B-18375BFA6EA6}" sourceName="category">
  <pivotTables>
    <pivotTable tabId="3" name="PivotTable1"/>
  </pivotTables>
  <data>
    <tabular pivotCacheId="185355039">
      <items count="11">
        <i x="0" s="1"/>
        <i x="1" s="1"/>
        <i x="2" s="1"/>
        <i x="4" s="1"/>
        <i x="10" s="1"/>
        <i x="5" s="1"/>
        <i x="6" s="1"/>
        <i x="7" s="1"/>
        <i x="8" s="1"/>
        <i x="9"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E41DFEA-C8B1-47DF-8A11-3DE8719509D4}" sourceName="year">
  <pivotTables>
    <pivotTable tabId="3" name="PivotTable1"/>
  </pivotTables>
  <data>
    <tabular pivotCacheId="185355039">
      <items count="14">
        <i x="9" s="1"/>
        <i x="10" s="1"/>
        <i x="5" s="1"/>
        <i x="12" s="1"/>
        <i x="11" s="1"/>
        <i x="7" s="1"/>
        <i x="0" s="1"/>
        <i x="6" s="1"/>
        <i x="8" s="1"/>
        <i x="1" s="1"/>
        <i x="2" s="1"/>
        <i x="4" s="1"/>
        <i x="3"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2A88F4C-0F50-4FB0-ABE5-6AB749751113}" cache="Slicer_category" caption="category" rowHeight="247650"/>
  <slicer name="year" xr10:uid="{32A606BD-EEED-49AE-B411-9BDB5D0367C1}" cache="Slicer_year" caption="yea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B31C-269B-45DE-9292-748448982C5E}">
  <dimension ref="A1:X2"/>
  <sheetViews>
    <sheetView showGridLines="0" showRowColHeaders="0" tabSelected="1" workbookViewId="0">
      <selection activeCell="Q8" sqref="Q8"/>
    </sheetView>
  </sheetViews>
  <sheetFormatPr defaultRowHeight="14.4" x14ac:dyDescent="0.3"/>
  <sheetData>
    <row r="1" spans="1:24" x14ac:dyDescent="0.3">
      <c r="A1" s="3" t="s">
        <v>58</v>
      </c>
      <c r="B1" s="3"/>
      <c r="C1" s="3"/>
      <c r="D1" s="3"/>
      <c r="E1" s="3"/>
      <c r="F1" s="3"/>
      <c r="G1" s="3"/>
      <c r="H1" s="3"/>
      <c r="I1" s="3"/>
      <c r="J1" s="3"/>
      <c r="K1" s="3"/>
      <c r="L1" s="3"/>
      <c r="M1" s="3"/>
      <c r="N1" s="3"/>
      <c r="O1" s="3"/>
      <c r="P1" s="3"/>
      <c r="Q1" s="3"/>
      <c r="R1" s="3"/>
      <c r="S1" s="3"/>
      <c r="T1" s="3"/>
      <c r="U1" s="3"/>
      <c r="V1" s="3"/>
      <c r="W1" s="3"/>
      <c r="X1" s="3"/>
    </row>
    <row r="2" spans="1:24" x14ac:dyDescent="0.3">
      <c r="A2" s="3"/>
      <c r="B2" s="3"/>
      <c r="C2" s="3"/>
      <c r="D2" s="3"/>
      <c r="E2" s="3"/>
      <c r="F2" s="3"/>
      <c r="G2" s="3"/>
      <c r="H2" s="3"/>
      <c r="I2" s="3"/>
      <c r="J2" s="3"/>
      <c r="K2" s="3"/>
      <c r="L2" s="3"/>
      <c r="M2" s="3"/>
      <c r="N2" s="3"/>
      <c r="O2" s="3"/>
      <c r="P2" s="3"/>
      <c r="Q2" s="3"/>
      <c r="R2" s="3"/>
      <c r="S2" s="3"/>
      <c r="T2" s="3"/>
      <c r="U2" s="3"/>
      <c r="V2" s="3"/>
      <c r="W2" s="3"/>
      <c r="X2" s="3"/>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592-23EB-44A2-B9EE-A2401E98CB2D}">
  <dimension ref="A1:W37"/>
  <sheetViews>
    <sheetView workbookViewId="0">
      <selection activeCell="D1" sqref="D1:E37"/>
    </sheetView>
  </sheetViews>
  <sheetFormatPr defaultRowHeight="14.4" x14ac:dyDescent="0.3"/>
  <cols>
    <col min="1" max="1" width="13.88671875" customWidth="1"/>
    <col min="2" max="2" width="13" customWidth="1"/>
    <col min="3" max="4" width="13.33203125" customWidth="1"/>
    <col min="5" max="5" width="13.109375" customWidth="1"/>
    <col min="6" max="6" width="14.21875" customWidth="1"/>
    <col min="7" max="7" width="11.88671875" customWidth="1"/>
    <col min="8" max="8" width="12.88671875" customWidth="1"/>
    <col min="9" max="9" width="12.6640625" customWidth="1"/>
    <col min="10" max="10" width="13.33203125" customWidth="1"/>
    <col min="11" max="11" width="12.6640625" customWidth="1"/>
    <col min="12" max="12" width="13.88671875" customWidth="1"/>
    <col min="13" max="13" width="14" customWidth="1"/>
    <col min="14" max="14" width="14.5546875" customWidth="1"/>
    <col min="15" max="15" width="13.88671875" customWidth="1"/>
    <col min="16" max="16" width="14.77734375" customWidth="1"/>
    <col min="17" max="17" width="13.6640625" customWidth="1"/>
    <col min="18" max="18" width="14.6640625" customWidth="1"/>
    <col min="19" max="19" width="13.6640625" customWidth="1"/>
    <col min="21" max="21" width="14.21875" customWidth="1"/>
    <col min="22" max="22" width="13.109375" customWidth="1"/>
  </cols>
  <sheetData>
    <row r="1" spans="1:23" x14ac:dyDescent="0.3">
      <c r="A1" t="s">
        <v>0</v>
      </c>
      <c r="B1" t="s">
        <v>1</v>
      </c>
      <c r="C1" t="s">
        <v>2</v>
      </c>
      <c r="D1" t="s">
        <v>70</v>
      </c>
      <c r="E1" t="s">
        <v>3</v>
      </c>
      <c r="F1" t="s">
        <v>4</v>
      </c>
      <c r="G1" t="s">
        <v>5</v>
      </c>
      <c r="H1" t="s">
        <v>6</v>
      </c>
      <c r="I1" t="s">
        <v>7</v>
      </c>
      <c r="J1" t="s">
        <v>8</v>
      </c>
      <c r="K1" t="s">
        <v>9</v>
      </c>
      <c r="L1" t="s">
        <v>10</v>
      </c>
      <c r="M1" t="s">
        <v>11</v>
      </c>
      <c r="N1" t="s">
        <v>12</v>
      </c>
      <c r="O1" t="s">
        <v>13</v>
      </c>
      <c r="P1" t="s">
        <v>11</v>
      </c>
      <c r="Q1" t="s">
        <v>14</v>
      </c>
      <c r="R1" t="s">
        <v>15</v>
      </c>
      <c r="S1" t="s">
        <v>16</v>
      </c>
      <c r="U1" t="s">
        <v>63</v>
      </c>
      <c r="V1" t="s">
        <v>64</v>
      </c>
      <c r="W1" t="s">
        <v>66</v>
      </c>
    </row>
    <row r="2" spans="1:23" x14ac:dyDescent="0.3">
      <c r="A2" t="s">
        <v>17</v>
      </c>
      <c r="B2" t="s">
        <v>18</v>
      </c>
      <c r="C2">
        <v>2015</v>
      </c>
      <c r="D2" t="s">
        <v>67</v>
      </c>
      <c r="E2">
        <v>518</v>
      </c>
      <c r="F2" s="1">
        <v>3.98</v>
      </c>
      <c r="G2" s="1">
        <v>0.83</v>
      </c>
      <c r="H2" s="1">
        <v>0.85</v>
      </c>
      <c r="I2" s="1">
        <v>-0.02</v>
      </c>
      <c r="J2">
        <v>130</v>
      </c>
      <c r="K2">
        <v>180</v>
      </c>
      <c r="L2">
        <v>338</v>
      </c>
      <c r="M2">
        <v>57</v>
      </c>
      <c r="N2">
        <v>24</v>
      </c>
      <c r="O2" s="1">
        <v>-0.57999999999999996</v>
      </c>
      <c r="P2">
        <v>31.8</v>
      </c>
      <c r="Q2" s="2">
        <v>0.34699999999999998</v>
      </c>
      <c r="R2" s="2">
        <v>0.65300000000000002</v>
      </c>
      <c r="S2" s="2">
        <v>0.438</v>
      </c>
      <c r="U2" t="str" cm="1">
        <f t="array" ref="U2:V6">INDEX(_xlfn._xlws.SORT(A2:E37,4,-1),_xlfn.SEQUENCE(5),{1,4})</f>
        <v>Black Panther 2</v>
      </c>
      <c r="V2" t="str">
        <v>2020's</v>
      </c>
      <c r="W2" t="str">
        <f>INT(C2/10)*10&amp;"'s"</f>
        <v>2010's</v>
      </c>
    </row>
    <row r="3" spans="1:23" x14ac:dyDescent="0.3">
      <c r="A3" t="s">
        <v>19</v>
      </c>
      <c r="B3" t="s">
        <v>18</v>
      </c>
      <c r="C3">
        <v>2018</v>
      </c>
      <c r="D3" t="s">
        <v>67</v>
      </c>
      <c r="E3">
        <v>623</v>
      </c>
      <c r="F3" s="1">
        <v>4.79</v>
      </c>
      <c r="G3" s="1">
        <v>0.87</v>
      </c>
      <c r="H3" s="1">
        <v>0.8</v>
      </c>
      <c r="I3" s="1">
        <v>7.0000000000000007E-2</v>
      </c>
      <c r="J3">
        <v>130</v>
      </c>
      <c r="K3">
        <v>216</v>
      </c>
      <c r="L3">
        <v>406</v>
      </c>
      <c r="M3">
        <v>75.8</v>
      </c>
      <c r="N3">
        <v>29</v>
      </c>
      <c r="O3" s="1">
        <v>-0.62</v>
      </c>
      <c r="P3">
        <v>35</v>
      </c>
      <c r="Q3" s="2">
        <v>0.34699999999999998</v>
      </c>
      <c r="R3" s="2">
        <v>0.65200000000000002</v>
      </c>
      <c r="S3" s="2">
        <v>0.58299999999999996</v>
      </c>
      <c r="U3" t="str">
        <v>Black Widow</v>
      </c>
      <c r="V3" t="str">
        <v>2020's</v>
      </c>
      <c r="W3" t="str">
        <f>INT(C3/10)*10&amp;"'s"</f>
        <v>2010's</v>
      </c>
    </row>
    <row r="4" spans="1:23" x14ac:dyDescent="0.3">
      <c r="A4" t="s">
        <v>20</v>
      </c>
      <c r="B4" t="s">
        <v>21</v>
      </c>
      <c r="C4">
        <v>2015</v>
      </c>
      <c r="D4" t="s">
        <v>67</v>
      </c>
      <c r="E4">
        <v>1395</v>
      </c>
      <c r="F4" s="1">
        <v>3.82</v>
      </c>
      <c r="G4" s="1">
        <v>0.76</v>
      </c>
      <c r="H4" s="1">
        <v>0.82</v>
      </c>
      <c r="I4" s="1">
        <v>-0.06</v>
      </c>
      <c r="J4">
        <v>365</v>
      </c>
      <c r="K4">
        <v>459</v>
      </c>
      <c r="L4">
        <v>936</v>
      </c>
      <c r="M4">
        <v>191</v>
      </c>
      <c r="N4">
        <v>77</v>
      </c>
      <c r="O4" s="1">
        <v>-0.6</v>
      </c>
      <c r="P4">
        <v>41.7</v>
      </c>
      <c r="Q4" s="2">
        <v>0.32900000000000001</v>
      </c>
      <c r="R4" s="2">
        <v>0.67100000000000004</v>
      </c>
      <c r="S4" s="2">
        <v>0.52300000000000002</v>
      </c>
      <c r="U4" t="str">
        <v>Dr Strange: Multiverse of Madness</v>
      </c>
      <c r="V4" t="str">
        <v>2020's</v>
      </c>
      <c r="W4" t="str">
        <f>INT(C4/10)*10&amp;"'s"</f>
        <v>2010's</v>
      </c>
    </row>
    <row r="5" spans="1:23" x14ac:dyDescent="0.3">
      <c r="A5" t="s">
        <v>22</v>
      </c>
      <c r="B5" t="s">
        <v>21</v>
      </c>
      <c r="C5">
        <v>2019</v>
      </c>
      <c r="D5" t="s">
        <v>67</v>
      </c>
      <c r="E5">
        <v>2797</v>
      </c>
      <c r="F5" s="1">
        <v>6.99</v>
      </c>
      <c r="G5" s="1">
        <v>0.94</v>
      </c>
      <c r="H5" s="1">
        <v>0.9</v>
      </c>
      <c r="I5" s="1">
        <v>0.04</v>
      </c>
      <c r="J5">
        <v>400</v>
      </c>
      <c r="K5">
        <v>858</v>
      </c>
      <c r="L5">
        <v>1939</v>
      </c>
      <c r="M5">
        <v>357</v>
      </c>
      <c r="N5">
        <v>147</v>
      </c>
      <c r="O5" s="1">
        <v>-0.59</v>
      </c>
      <c r="P5">
        <v>41.6</v>
      </c>
      <c r="Q5" s="2">
        <v>0.307</v>
      </c>
      <c r="R5" s="2">
        <v>0.69299999999999995</v>
      </c>
      <c r="S5" s="2">
        <v>0.89300000000000002</v>
      </c>
      <c r="U5" t="str">
        <v>Eternals</v>
      </c>
      <c r="V5" t="str">
        <v>2020's</v>
      </c>
      <c r="W5" t="str">
        <f>INT(C5/10)*10&amp;"'s"</f>
        <v>2010's</v>
      </c>
    </row>
    <row r="6" spans="1:23" x14ac:dyDescent="0.3">
      <c r="A6" t="s">
        <v>23</v>
      </c>
      <c r="B6" t="s">
        <v>21</v>
      </c>
      <c r="C6">
        <v>2018</v>
      </c>
      <c r="D6" t="s">
        <v>67</v>
      </c>
      <c r="E6">
        <v>2048</v>
      </c>
      <c r="F6" s="1">
        <v>6.83</v>
      </c>
      <c r="G6" s="1">
        <v>0.85</v>
      </c>
      <c r="H6" s="1">
        <v>0.91</v>
      </c>
      <c r="I6" s="1">
        <v>-0.06</v>
      </c>
      <c r="J6">
        <v>300</v>
      </c>
      <c r="K6">
        <v>678</v>
      </c>
      <c r="L6">
        <v>1369</v>
      </c>
      <c r="M6">
        <v>257</v>
      </c>
      <c r="N6">
        <v>114</v>
      </c>
      <c r="O6" s="1">
        <v>-0.56000000000000005</v>
      </c>
      <c r="P6">
        <v>38</v>
      </c>
      <c r="Q6" s="2">
        <v>0.33100000000000002</v>
      </c>
      <c r="R6" s="2">
        <v>0.66800000000000004</v>
      </c>
      <c r="S6" s="2">
        <v>0.85699999999999998</v>
      </c>
      <c r="U6" t="str">
        <v>Shang-Chi</v>
      </c>
      <c r="V6" t="str">
        <v>2020's</v>
      </c>
      <c r="W6" t="str">
        <f>INT(C6/10)*10&amp;"'s"</f>
        <v>2010's</v>
      </c>
    </row>
    <row r="7" spans="1:23" x14ac:dyDescent="0.3">
      <c r="A7" t="s">
        <v>24</v>
      </c>
      <c r="B7" t="s">
        <v>24</v>
      </c>
      <c r="C7">
        <v>2018</v>
      </c>
      <c r="D7" t="s">
        <v>67</v>
      </c>
      <c r="E7">
        <v>1336</v>
      </c>
      <c r="F7" s="1">
        <v>6.68</v>
      </c>
      <c r="G7" s="1">
        <v>0.96</v>
      </c>
      <c r="H7" s="1">
        <v>0.79</v>
      </c>
      <c r="I7" s="1">
        <v>0.17</v>
      </c>
      <c r="J7">
        <v>200</v>
      </c>
      <c r="K7">
        <v>700</v>
      </c>
      <c r="L7">
        <v>636</v>
      </c>
      <c r="M7">
        <v>202</v>
      </c>
      <c r="N7">
        <v>111</v>
      </c>
      <c r="O7" s="1">
        <v>-0.45</v>
      </c>
      <c r="P7">
        <v>28.9</v>
      </c>
      <c r="Q7" s="2">
        <v>0.52400000000000002</v>
      </c>
      <c r="R7" s="2">
        <v>0.47599999999999998</v>
      </c>
      <c r="S7" s="2">
        <v>1.01</v>
      </c>
      <c r="W7" t="str">
        <f>INT(C7/10)*10&amp;"'s"</f>
        <v>2010's</v>
      </c>
    </row>
    <row r="8" spans="1:23" x14ac:dyDescent="0.3">
      <c r="A8" t="s">
        <v>25</v>
      </c>
      <c r="B8" t="s">
        <v>24</v>
      </c>
      <c r="C8">
        <v>2022</v>
      </c>
      <c r="D8" t="s">
        <v>68</v>
      </c>
      <c r="E8">
        <v>855</v>
      </c>
      <c r="F8" s="1">
        <v>3.42</v>
      </c>
      <c r="G8" s="1">
        <v>0.84</v>
      </c>
      <c r="H8" s="1">
        <v>0.94</v>
      </c>
      <c r="I8" s="1">
        <v>-0.1</v>
      </c>
      <c r="J8">
        <v>250</v>
      </c>
      <c r="K8">
        <v>453</v>
      </c>
      <c r="L8">
        <v>401</v>
      </c>
      <c r="M8">
        <v>181</v>
      </c>
      <c r="N8">
        <v>66</v>
      </c>
      <c r="O8" s="1">
        <v>-0.64</v>
      </c>
      <c r="P8">
        <v>48.6</v>
      </c>
      <c r="Q8" s="2">
        <v>0.53</v>
      </c>
      <c r="R8" s="2">
        <v>0.46899999999999997</v>
      </c>
      <c r="S8" s="2">
        <v>0.72399999999999998</v>
      </c>
      <c r="W8" t="str">
        <f>INT(C8/10)*10&amp;"'s"</f>
        <v>2020's</v>
      </c>
    </row>
    <row r="9" spans="1:23" x14ac:dyDescent="0.3">
      <c r="A9" t="s">
        <v>26</v>
      </c>
      <c r="B9" t="s">
        <v>27</v>
      </c>
      <c r="C9">
        <v>2021</v>
      </c>
      <c r="D9" t="s">
        <v>68</v>
      </c>
      <c r="E9">
        <v>379</v>
      </c>
      <c r="F9" s="1">
        <v>1.9</v>
      </c>
      <c r="G9" s="1">
        <v>0.79</v>
      </c>
      <c r="H9" s="1">
        <v>0.8</v>
      </c>
      <c r="I9" s="1">
        <v>-0.01</v>
      </c>
      <c r="J9">
        <v>200</v>
      </c>
      <c r="K9">
        <v>183</v>
      </c>
      <c r="L9">
        <v>196</v>
      </c>
      <c r="M9">
        <v>80.3</v>
      </c>
      <c r="N9">
        <v>25.8</v>
      </c>
      <c r="O9" s="1">
        <v>-0.68</v>
      </c>
      <c r="P9">
        <v>43.8</v>
      </c>
      <c r="Q9" s="2">
        <v>0.48299999999999998</v>
      </c>
      <c r="R9" s="2">
        <v>0.51700000000000002</v>
      </c>
      <c r="S9" s="2">
        <v>0.40200000000000002</v>
      </c>
      <c r="W9" t="str">
        <f>INT(C9/10)*10&amp;"'s"</f>
        <v>2020's</v>
      </c>
    </row>
    <row r="10" spans="1:23" x14ac:dyDescent="0.3">
      <c r="A10" t="s">
        <v>28</v>
      </c>
      <c r="B10" t="s">
        <v>28</v>
      </c>
      <c r="C10">
        <v>2011</v>
      </c>
      <c r="D10" t="s">
        <v>67</v>
      </c>
      <c r="E10">
        <v>370</v>
      </c>
      <c r="F10" s="1">
        <v>2.64</v>
      </c>
      <c r="G10" s="1">
        <v>0.79</v>
      </c>
      <c r="H10" s="1">
        <v>0.75</v>
      </c>
      <c r="I10" s="1">
        <v>0.04</v>
      </c>
      <c r="J10">
        <v>140</v>
      </c>
      <c r="K10">
        <v>176</v>
      </c>
      <c r="L10">
        <v>193</v>
      </c>
      <c r="M10">
        <v>65</v>
      </c>
      <c r="N10">
        <v>25</v>
      </c>
      <c r="O10" s="1">
        <v>-0.62</v>
      </c>
      <c r="P10">
        <v>36.799999999999997</v>
      </c>
      <c r="Q10" s="2">
        <v>0.47599999999999998</v>
      </c>
      <c r="R10" s="2">
        <v>0.52200000000000002</v>
      </c>
      <c r="S10" s="2">
        <v>0.46400000000000002</v>
      </c>
      <c r="W10" t="str">
        <f>INT(C10/10)*10&amp;"'s"</f>
        <v>2010's</v>
      </c>
    </row>
    <row r="11" spans="1:23" x14ac:dyDescent="0.3">
      <c r="A11" t="s">
        <v>29</v>
      </c>
      <c r="B11" t="s">
        <v>28</v>
      </c>
      <c r="C11">
        <v>2016</v>
      </c>
      <c r="D11" t="s">
        <v>67</v>
      </c>
      <c r="E11">
        <v>1151</v>
      </c>
      <c r="F11" s="1">
        <v>4.5999999999999996</v>
      </c>
      <c r="G11" s="1">
        <v>0.9</v>
      </c>
      <c r="H11" s="1">
        <v>0.89</v>
      </c>
      <c r="I11" s="1">
        <v>0.01</v>
      </c>
      <c r="J11">
        <v>250</v>
      </c>
      <c r="K11">
        <v>408</v>
      </c>
      <c r="L11">
        <v>743</v>
      </c>
      <c r="M11">
        <v>179</v>
      </c>
      <c r="N11">
        <v>72.599999999999994</v>
      </c>
      <c r="O11" s="1">
        <v>-0.59</v>
      </c>
      <c r="P11">
        <v>43.9</v>
      </c>
      <c r="Q11" s="2">
        <v>0.35399999999999998</v>
      </c>
      <c r="R11" s="2">
        <v>0.64600000000000002</v>
      </c>
      <c r="S11" s="2">
        <v>0.71599999999999997</v>
      </c>
      <c r="W11" t="str">
        <f>INT(C11/10)*10&amp;"'s"</f>
        <v>2010's</v>
      </c>
    </row>
    <row r="12" spans="1:23" x14ac:dyDescent="0.3">
      <c r="A12" t="s">
        <v>30</v>
      </c>
      <c r="B12" t="s">
        <v>28</v>
      </c>
      <c r="C12">
        <v>2014</v>
      </c>
      <c r="D12" t="s">
        <v>67</v>
      </c>
      <c r="E12">
        <v>714</v>
      </c>
      <c r="F12" s="1">
        <v>4.2</v>
      </c>
      <c r="G12" s="1">
        <v>0.9</v>
      </c>
      <c r="H12" s="1">
        <v>0.92</v>
      </c>
      <c r="I12" s="1">
        <v>-0.02</v>
      </c>
      <c r="J12">
        <v>170</v>
      </c>
      <c r="K12">
        <v>259</v>
      </c>
      <c r="L12">
        <v>454</v>
      </c>
      <c r="M12">
        <v>95</v>
      </c>
      <c r="N12">
        <v>41</v>
      </c>
      <c r="O12" s="1">
        <v>-0.56999999999999995</v>
      </c>
      <c r="P12">
        <v>36.6</v>
      </c>
      <c r="Q12" s="2">
        <v>0.36299999999999999</v>
      </c>
      <c r="R12" s="2">
        <v>0.63600000000000001</v>
      </c>
      <c r="S12" s="2">
        <v>0.55900000000000005</v>
      </c>
      <c r="W12" t="str">
        <f>INT(C12/10)*10&amp;"'s"</f>
        <v>2010's</v>
      </c>
    </row>
    <row r="13" spans="1:23" x14ac:dyDescent="0.3">
      <c r="A13" t="s">
        <v>31</v>
      </c>
      <c r="B13" t="s">
        <v>27</v>
      </c>
      <c r="C13">
        <v>2019</v>
      </c>
      <c r="D13" t="s">
        <v>67</v>
      </c>
      <c r="E13">
        <v>1129</v>
      </c>
      <c r="F13" s="1">
        <v>6.45</v>
      </c>
      <c r="G13" s="1">
        <v>0.79</v>
      </c>
      <c r="H13" s="1">
        <v>0.45</v>
      </c>
      <c r="I13" s="1">
        <v>0.34</v>
      </c>
      <c r="J13">
        <v>175</v>
      </c>
      <c r="K13">
        <v>426</v>
      </c>
      <c r="L13">
        <v>702</v>
      </c>
      <c r="M13">
        <v>153</v>
      </c>
      <c r="N13">
        <v>67.900000000000006</v>
      </c>
      <c r="O13" s="1">
        <v>-0.56000000000000005</v>
      </c>
      <c r="P13">
        <v>35.9</v>
      </c>
      <c r="Q13" s="2">
        <v>0.377</v>
      </c>
      <c r="R13" s="2">
        <v>0.622</v>
      </c>
      <c r="S13" s="2">
        <v>0.874</v>
      </c>
      <c r="W13" t="str">
        <f>INT(C13/10)*10&amp;"'s"</f>
        <v>2010's</v>
      </c>
    </row>
    <row r="14" spans="1:23" x14ac:dyDescent="0.3">
      <c r="A14" t="s">
        <v>32</v>
      </c>
      <c r="B14" t="s">
        <v>32</v>
      </c>
      <c r="C14">
        <v>2016</v>
      </c>
      <c r="D14" t="s">
        <v>67</v>
      </c>
      <c r="E14">
        <v>676</v>
      </c>
      <c r="F14" s="1">
        <v>4.0999999999999996</v>
      </c>
      <c r="G14" s="1">
        <v>0.89</v>
      </c>
      <c r="H14" s="1">
        <v>0.86</v>
      </c>
      <c r="I14" s="1">
        <v>0.03</v>
      </c>
      <c r="J14">
        <v>165</v>
      </c>
      <c r="K14">
        <v>232</v>
      </c>
      <c r="L14">
        <v>443</v>
      </c>
      <c r="M14">
        <v>85</v>
      </c>
      <c r="N14">
        <v>42.9</v>
      </c>
      <c r="O14" s="1">
        <v>-0.5</v>
      </c>
      <c r="P14">
        <v>36.6</v>
      </c>
      <c r="Q14" s="2">
        <v>0.34300000000000003</v>
      </c>
      <c r="R14" s="2">
        <v>0.65500000000000003</v>
      </c>
      <c r="S14" s="2">
        <v>0.51500000000000001</v>
      </c>
      <c r="W14" t="str">
        <f>INT(C14/10)*10&amp;"'s"</f>
        <v>2010's</v>
      </c>
    </row>
    <row r="15" spans="1:23" x14ac:dyDescent="0.3">
      <c r="A15" t="s">
        <v>33</v>
      </c>
      <c r="B15" t="s">
        <v>32</v>
      </c>
      <c r="C15">
        <v>2022</v>
      </c>
      <c r="D15" t="s">
        <v>68</v>
      </c>
      <c r="E15">
        <v>952</v>
      </c>
      <c r="F15" s="1">
        <v>4.76</v>
      </c>
      <c r="G15" s="1">
        <v>0.74</v>
      </c>
      <c r="H15" s="1">
        <v>0.77</v>
      </c>
      <c r="I15" s="1">
        <v>-0.03</v>
      </c>
      <c r="J15">
        <v>200</v>
      </c>
      <c r="K15">
        <v>411</v>
      </c>
      <c r="L15">
        <v>540</v>
      </c>
      <c r="M15">
        <v>187</v>
      </c>
      <c r="N15">
        <v>61.7</v>
      </c>
      <c r="O15" s="1">
        <v>-0.67</v>
      </c>
      <c r="P15">
        <v>45.6</v>
      </c>
      <c r="Q15" s="2">
        <v>0.432</v>
      </c>
      <c r="R15" s="2">
        <v>0.56699999999999995</v>
      </c>
      <c r="S15" s="2">
        <v>0.93500000000000005</v>
      </c>
      <c r="W15" t="str">
        <f>INT(C15/10)*10&amp;"'s"</f>
        <v>2020's</v>
      </c>
    </row>
    <row r="16" spans="1:23" x14ac:dyDescent="0.3">
      <c r="A16" t="s">
        <v>34</v>
      </c>
      <c r="B16" t="s">
        <v>27</v>
      </c>
      <c r="C16">
        <v>2021</v>
      </c>
      <c r="D16" t="s">
        <v>68</v>
      </c>
      <c r="E16">
        <v>402</v>
      </c>
      <c r="F16" s="1">
        <v>2.0099999999999998</v>
      </c>
      <c r="G16" s="1">
        <v>0.47</v>
      </c>
      <c r="H16" s="1">
        <v>0.73</v>
      </c>
      <c r="I16" s="1">
        <v>-0.26</v>
      </c>
      <c r="J16">
        <v>200</v>
      </c>
      <c r="K16">
        <v>164</v>
      </c>
      <c r="L16">
        <v>237</v>
      </c>
      <c r="M16">
        <v>71</v>
      </c>
      <c r="N16">
        <v>26.8</v>
      </c>
      <c r="O16" s="1">
        <v>-0.62</v>
      </c>
      <c r="P16">
        <v>43.2</v>
      </c>
      <c r="Q16" s="2">
        <v>0.40799999999999997</v>
      </c>
      <c r="R16" s="2">
        <v>0.59</v>
      </c>
      <c r="S16" s="2">
        <v>0.35499999999999998</v>
      </c>
      <c r="W16" t="str">
        <f>INT(C16/10)*10&amp;"'s"</f>
        <v>2020's</v>
      </c>
    </row>
    <row r="17" spans="1:23" x14ac:dyDescent="0.3">
      <c r="A17" t="s">
        <v>35</v>
      </c>
      <c r="B17" t="s">
        <v>36</v>
      </c>
      <c r="C17">
        <v>2014</v>
      </c>
      <c r="D17" t="s">
        <v>67</v>
      </c>
      <c r="E17">
        <v>770</v>
      </c>
      <c r="F17" s="1">
        <v>4.53</v>
      </c>
      <c r="G17" s="1">
        <v>0.92</v>
      </c>
      <c r="H17" s="1">
        <v>0.92</v>
      </c>
      <c r="I17" s="1">
        <v>0</v>
      </c>
      <c r="J17">
        <v>170</v>
      </c>
      <c r="K17">
        <v>333</v>
      </c>
      <c r="L17">
        <v>437</v>
      </c>
      <c r="M17">
        <v>94</v>
      </c>
      <c r="N17">
        <v>42.1</v>
      </c>
      <c r="O17" s="1">
        <v>-0.55000000000000004</v>
      </c>
      <c r="P17">
        <v>43.3</v>
      </c>
      <c r="Q17" s="2">
        <v>0.432</v>
      </c>
      <c r="R17" s="2">
        <v>0.56799999999999995</v>
      </c>
      <c r="S17" s="2">
        <v>0.55300000000000005</v>
      </c>
      <c r="W17" t="str">
        <f>INT(C17/10)*10&amp;"'s"</f>
        <v>2010's</v>
      </c>
    </row>
    <row r="18" spans="1:23" x14ac:dyDescent="0.3">
      <c r="A18" t="s">
        <v>37</v>
      </c>
      <c r="B18" t="s">
        <v>36</v>
      </c>
      <c r="C18">
        <v>2017</v>
      </c>
      <c r="D18" t="s">
        <v>67</v>
      </c>
      <c r="E18">
        <v>869</v>
      </c>
      <c r="F18" s="1">
        <v>4.3499999999999996</v>
      </c>
      <c r="G18" s="1">
        <v>0.85</v>
      </c>
      <c r="H18" s="1">
        <v>0.87</v>
      </c>
      <c r="I18" s="1">
        <v>-0.02</v>
      </c>
      <c r="J18">
        <v>200</v>
      </c>
      <c r="K18">
        <v>389</v>
      </c>
      <c r="L18">
        <v>479</v>
      </c>
      <c r="M18">
        <v>146</v>
      </c>
      <c r="N18">
        <v>65</v>
      </c>
      <c r="O18" s="1">
        <v>-0.55000000000000004</v>
      </c>
      <c r="P18">
        <v>37.6</v>
      </c>
      <c r="Q18" s="2">
        <v>0.44800000000000001</v>
      </c>
      <c r="R18" s="2">
        <v>0.55100000000000005</v>
      </c>
      <c r="S18" s="2">
        <v>0.73</v>
      </c>
      <c r="W18" t="str">
        <f>INT(C18/10)*10&amp;"'s"</f>
        <v>2010's</v>
      </c>
    </row>
    <row r="19" spans="1:23" x14ac:dyDescent="0.3">
      <c r="A19" t="s">
        <v>38</v>
      </c>
      <c r="B19" t="s">
        <v>27</v>
      </c>
      <c r="C19">
        <v>2008</v>
      </c>
      <c r="D19" t="s">
        <v>69</v>
      </c>
      <c r="E19">
        <v>265</v>
      </c>
      <c r="F19" s="1">
        <v>1.93</v>
      </c>
      <c r="G19" s="1">
        <v>0.67</v>
      </c>
      <c r="H19" s="1">
        <v>0.69</v>
      </c>
      <c r="I19" s="1">
        <v>-0.02</v>
      </c>
      <c r="J19">
        <v>137.5</v>
      </c>
      <c r="K19">
        <v>134</v>
      </c>
      <c r="L19">
        <v>130</v>
      </c>
      <c r="M19">
        <v>55</v>
      </c>
      <c r="N19">
        <v>22.1</v>
      </c>
      <c r="O19" s="1">
        <v>-0.6</v>
      </c>
      <c r="P19">
        <v>41.1</v>
      </c>
      <c r="Q19" s="2">
        <v>0.50600000000000001</v>
      </c>
      <c r="R19" s="2">
        <v>0.49099999999999999</v>
      </c>
      <c r="S19" s="2">
        <v>0.4</v>
      </c>
      <c r="W19" t="str">
        <f>INT(C19/10)*10&amp;"'s"</f>
        <v>2000's</v>
      </c>
    </row>
    <row r="20" spans="1:23" x14ac:dyDescent="0.3">
      <c r="A20" t="s">
        <v>39</v>
      </c>
      <c r="B20" t="s">
        <v>39</v>
      </c>
      <c r="C20">
        <v>2008</v>
      </c>
      <c r="D20" t="s">
        <v>69</v>
      </c>
      <c r="E20">
        <v>585</v>
      </c>
      <c r="F20" s="1">
        <v>3.15</v>
      </c>
      <c r="G20" s="1">
        <v>0.94</v>
      </c>
      <c r="H20" s="1">
        <v>0.91</v>
      </c>
      <c r="I20" s="1">
        <v>0.03</v>
      </c>
      <c r="J20">
        <v>186</v>
      </c>
      <c r="K20">
        <v>318</v>
      </c>
      <c r="L20">
        <v>266</v>
      </c>
      <c r="M20">
        <v>102</v>
      </c>
      <c r="N20">
        <v>51.2</v>
      </c>
      <c r="O20" s="1">
        <v>-0.5</v>
      </c>
      <c r="P20">
        <v>32.1</v>
      </c>
      <c r="Q20" s="2">
        <v>0.54400000000000004</v>
      </c>
      <c r="R20" s="2">
        <v>0.45500000000000002</v>
      </c>
      <c r="S20" s="2">
        <v>0.54800000000000004</v>
      </c>
      <c r="W20" t="str">
        <f>INT(C20/10)*10&amp;"'s"</f>
        <v>2000's</v>
      </c>
    </row>
    <row r="21" spans="1:23" x14ac:dyDescent="0.3">
      <c r="A21" t="s">
        <v>40</v>
      </c>
      <c r="B21" t="s">
        <v>39</v>
      </c>
      <c r="C21">
        <v>2010</v>
      </c>
      <c r="D21" t="s">
        <v>67</v>
      </c>
      <c r="E21">
        <v>621</v>
      </c>
      <c r="F21" s="1">
        <v>3.65</v>
      </c>
      <c r="G21" s="1">
        <v>0.71</v>
      </c>
      <c r="H21" s="1">
        <v>0.71</v>
      </c>
      <c r="I21" s="1">
        <v>0</v>
      </c>
      <c r="J21">
        <v>170</v>
      </c>
      <c r="K21">
        <v>312</v>
      </c>
      <c r="L21">
        <v>308</v>
      </c>
      <c r="M21">
        <v>128</v>
      </c>
      <c r="N21">
        <v>52</v>
      </c>
      <c r="O21" s="1">
        <v>-0.59</v>
      </c>
      <c r="P21">
        <v>41</v>
      </c>
      <c r="Q21" s="2">
        <v>0.502</v>
      </c>
      <c r="R21" s="2">
        <v>0.496</v>
      </c>
      <c r="S21" s="2">
        <v>0.753</v>
      </c>
      <c r="W21" t="str">
        <f>INT(C21/10)*10&amp;"'s"</f>
        <v>2010's</v>
      </c>
    </row>
    <row r="22" spans="1:23" x14ac:dyDescent="0.3">
      <c r="A22" t="s">
        <v>41</v>
      </c>
      <c r="B22" t="s">
        <v>39</v>
      </c>
      <c r="C22">
        <v>2013</v>
      </c>
      <c r="D22" t="s">
        <v>67</v>
      </c>
      <c r="E22">
        <v>1215</v>
      </c>
      <c r="F22" s="1">
        <v>6.08</v>
      </c>
      <c r="G22" s="1">
        <v>0.79</v>
      </c>
      <c r="H22" s="1">
        <v>0.78</v>
      </c>
      <c r="I22" s="1">
        <v>0.01</v>
      </c>
      <c r="J22">
        <v>200</v>
      </c>
      <c r="K22">
        <v>408</v>
      </c>
      <c r="L22">
        <v>806</v>
      </c>
      <c r="M22">
        <v>174</v>
      </c>
      <c r="N22">
        <v>72.5</v>
      </c>
      <c r="O22" s="1">
        <v>-0.57999999999999996</v>
      </c>
      <c r="P22">
        <v>42.6</v>
      </c>
      <c r="Q22" s="2">
        <v>0.33600000000000002</v>
      </c>
      <c r="R22" s="2">
        <v>0.66300000000000003</v>
      </c>
      <c r="S22" s="2">
        <v>0.87</v>
      </c>
      <c r="W22" t="str">
        <f>INT(C22/10)*10&amp;"'s"</f>
        <v>2010's</v>
      </c>
    </row>
    <row r="23" spans="1:23" x14ac:dyDescent="0.3">
      <c r="A23" t="s">
        <v>42</v>
      </c>
      <c r="B23" t="s">
        <v>27</v>
      </c>
      <c r="C23">
        <v>2021</v>
      </c>
      <c r="D23" t="s">
        <v>68</v>
      </c>
      <c r="E23">
        <v>432</v>
      </c>
      <c r="F23" s="1">
        <v>2.88</v>
      </c>
      <c r="G23" s="1">
        <v>0.91</v>
      </c>
      <c r="H23" s="1">
        <v>0.93</v>
      </c>
      <c r="I23" s="1">
        <v>-0.02</v>
      </c>
      <c r="J23">
        <v>150</v>
      </c>
      <c r="K23">
        <v>224</v>
      </c>
      <c r="L23">
        <v>207</v>
      </c>
      <c r="M23">
        <v>75</v>
      </c>
      <c r="N23">
        <v>34.700000000000003</v>
      </c>
      <c r="O23" s="1">
        <v>-0.54</v>
      </c>
      <c r="P23">
        <v>33.6</v>
      </c>
      <c r="Q23" s="2">
        <v>0.51900000000000002</v>
      </c>
      <c r="R23" s="2">
        <v>0.47899999999999998</v>
      </c>
      <c r="S23" s="2">
        <v>0.5</v>
      </c>
      <c r="W23" t="str">
        <f>INT(C23/10)*10&amp;"'s"</f>
        <v>2020's</v>
      </c>
    </row>
    <row r="24" spans="1:23" x14ac:dyDescent="0.3">
      <c r="A24" t="s">
        <v>43</v>
      </c>
      <c r="B24" t="s">
        <v>44</v>
      </c>
      <c r="C24">
        <v>2019</v>
      </c>
      <c r="D24" t="s">
        <v>67</v>
      </c>
      <c r="E24">
        <v>1132</v>
      </c>
      <c r="F24" s="1">
        <v>7.08</v>
      </c>
      <c r="G24" s="1">
        <v>0.9</v>
      </c>
      <c r="H24" s="1">
        <v>0.93</v>
      </c>
      <c r="I24" s="1">
        <v>-0.03</v>
      </c>
      <c r="J24">
        <v>160</v>
      </c>
      <c r="K24">
        <v>390</v>
      </c>
      <c r="L24">
        <v>741</v>
      </c>
      <c r="M24">
        <v>93</v>
      </c>
      <c r="N24">
        <v>45.3</v>
      </c>
      <c r="O24" s="1">
        <v>-0.51</v>
      </c>
      <c r="P24">
        <v>23.7</v>
      </c>
      <c r="Q24" s="2">
        <v>0.34499999999999997</v>
      </c>
      <c r="R24" s="2">
        <v>0.65500000000000003</v>
      </c>
      <c r="S24" s="2">
        <v>0.58099999999999996</v>
      </c>
      <c r="W24" t="str">
        <f>INT(C24/10)*10&amp;"'s"</f>
        <v>2010's</v>
      </c>
    </row>
    <row r="25" spans="1:23" x14ac:dyDescent="0.3">
      <c r="A25" t="s">
        <v>45</v>
      </c>
      <c r="B25" t="s">
        <v>44</v>
      </c>
      <c r="C25">
        <v>2017</v>
      </c>
      <c r="D25" t="s">
        <v>67</v>
      </c>
      <c r="E25">
        <v>878</v>
      </c>
      <c r="F25" s="1">
        <v>5.0199999999999996</v>
      </c>
      <c r="G25" s="1">
        <v>0.92</v>
      </c>
      <c r="H25" s="1">
        <v>0.87</v>
      </c>
      <c r="I25" s="1">
        <v>0.05</v>
      </c>
      <c r="J25">
        <v>175</v>
      </c>
      <c r="K25">
        <v>334</v>
      </c>
      <c r="L25">
        <v>544</v>
      </c>
      <c r="M25">
        <v>117</v>
      </c>
      <c r="N25">
        <v>44</v>
      </c>
      <c r="O25" s="1">
        <v>-0.62</v>
      </c>
      <c r="P25">
        <v>35</v>
      </c>
      <c r="Q25" s="2">
        <v>0.38</v>
      </c>
      <c r="R25" s="2">
        <v>0.62</v>
      </c>
      <c r="S25" s="2">
        <v>0.66900000000000004</v>
      </c>
      <c r="W25" t="str">
        <f>INT(C25/10)*10&amp;"'s"</f>
        <v>2010's</v>
      </c>
    </row>
    <row r="26" spans="1:23" x14ac:dyDescent="0.3">
      <c r="A26" t="s">
        <v>46</v>
      </c>
      <c r="B26" t="s">
        <v>44</v>
      </c>
      <c r="C26">
        <v>2021</v>
      </c>
      <c r="D26" t="s">
        <v>68</v>
      </c>
      <c r="E26">
        <v>1911</v>
      </c>
      <c r="F26" s="1">
        <v>9.56</v>
      </c>
      <c r="G26" s="1">
        <v>0.93</v>
      </c>
      <c r="H26" s="1">
        <v>0.96</v>
      </c>
      <c r="I26" s="1">
        <v>-0.03</v>
      </c>
      <c r="J26">
        <v>200</v>
      </c>
      <c r="K26">
        <v>814</v>
      </c>
      <c r="L26">
        <v>1097</v>
      </c>
      <c r="M26">
        <v>260</v>
      </c>
      <c r="N26">
        <v>84</v>
      </c>
      <c r="O26" s="1">
        <v>-0.68</v>
      </c>
      <c r="P26">
        <v>32</v>
      </c>
      <c r="Q26" s="2">
        <v>0.42599999999999999</v>
      </c>
      <c r="R26" s="2">
        <v>0.57399999999999995</v>
      </c>
      <c r="S26" s="2">
        <v>1.3</v>
      </c>
      <c r="W26" t="str">
        <f>INT(C26/10)*10&amp;"'s"</f>
        <v>2020's</v>
      </c>
    </row>
    <row r="27" spans="1:23" x14ac:dyDescent="0.3">
      <c r="A27" t="s">
        <v>47</v>
      </c>
      <c r="B27" t="s">
        <v>21</v>
      </c>
      <c r="C27">
        <v>2012</v>
      </c>
      <c r="D27" t="s">
        <v>67</v>
      </c>
      <c r="E27">
        <v>1515</v>
      </c>
      <c r="F27" s="1">
        <v>6.73</v>
      </c>
      <c r="G27" s="1">
        <v>0.91</v>
      </c>
      <c r="H27" s="1">
        <v>0.91</v>
      </c>
      <c r="I27" s="1">
        <v>0</v>
      </c>
      <c r="J27">
        <v>225</v>
      </c>
      <c r="K27">
        <v>623</v>
      </c>
      <c r="L27">
        <v>891</v>
      </c>
      <c r="M27">
        <v>207</v>
      </c>
      <c r="N27">
        <v>103</v>
      </c>
      <c r="O27" s="1">
        <v>-0.5</v>
      </c>
      <c r="P27">
        <v>33.299999999999997</v>
      </c>
      <c r="Q27" s="2">
        <v>0.41099999999999998</v>
      </c>
      <c r="R27" s="2">
        <v>0.58799999999999997</v>
      </c>
      <c r="S27" s="2">
        <v>0.92</v>
      </c>
      <c r="W27" t="str">
        <f>INT(C27/10)*10&amp;"'s"</f>
        <v>2010's</v>
      </c>
    </row>
    <row r="28" spans="1:23" x14ac:dyDescent="0.3">
      <c r="A28" t="s">
        <v>48</v>
      </c>
      <c r="B28" t="s">
        <v>49</v>
      </c>
      <c r="C28">
        <v>2013</v>
      </c>
      <c r="D28" t="s">
        <v>67</v>
      </c>
      <c r="E28">
        <v>644</v>
      </c>
      <c r="F28" s="1">
        <v>4.29</v>
      </c>
      <c r="G28" s="1">
        <v>0.66</v>
      </c>
      <c r="H28" s="1">
        <v>0.75</v>
      </c>
      <c r="I28" s="1">
        <v>-0.09</v>
      </c>
      <c r="J28">
        <v>150</v>
      </c>
      <c r="K28">
        <v>206</v>
      </c>
      <c r="L28">
        <v>438</v>
      </c>
      <c r="M28">
        <v>85</v>
      </c>
      <c r="N28">
        <v>36.5</v>
      </c>
      <c r="O28" s="1">
        <v>-0.56999999999999995</v>
      </c>
      <c r="P28">
        <v>41.5</v>
      </c>
      <c r="Q28" s="2">
        <v>0.32</v>
      </c>
      <c r="R28" s="2">
        <v>0.68</v>
      </c>
      <c r="S28" s="2">
        <v>0.56699999999999995</v>
      </c>
      <c r="W28" t="str">
        <f>INT(C28/10)*10&amp;"'s"</f>
        <v>2010's</v>
      </c>
    </row>
    <row r="29" spans="1:23" x14ac:dyDescent="0.3">
      <c r="A29" t="s">
        <v>50</v>
      </c>
      <c r="B29" t="s">
        <v>49</v>
      </c>
      <c r="C29">
        <v>2022</v>
      </c>
      <c r="D29" t="s">
        <v>68</v>
      </c>
      <c r="E29">
        <v>745</v>
      </c>
      <c r="F29" s="1">
        <v>2.98</v>
      </c>
      <c r="G29" s="1">
        <v>0.64</v>
      </c>
      <c r="H29" s="1">
        <v>0.63</v>
      </c>
      <c r="I29" s="1">
        <v>0.01</v>
      </c>
      <c r="J29">
        <v>250</v>
      </c>
      <c r="K29">
        <v>343</v>
      </c>
      <c r="L29">
        <v>403</v>
      </c>
      <c r="M29">
        <v>144</v>
      </c>
      <c r="N29">
        <v>46.6</v>
      </c>
      <c r="O29" s="1">
        <v>-0.68</v>
      </c>
      <c r="P29">
        <v>42</v>
      </c>
      <c r="Q29" s="2">
        <v>0.46</v>
      </c>
      <c r="R29" s="2">
        <v>0.54100000000000004</v>
      </c>
      <c r="S29" s="2">
        <v>0.57599999999999996</v>
      </c>
      <c r="W29" t="str">
        <f>INT(C29/10)*10&amp;"'s"</f>
        <v>2020's</v>
      </c>
    </row>
    <row r="30" spans="1:23" x14ac:dyDescent="0.3">
      <c r="A30" t="s">
        <v>51</v>
      </c>
      <c r="B30" t="s">
        <v>49</v>
      </c>
      <c r="C30">
        <v>2017</v>
      </c>
      <c r="D30" t="s">
        <v>67</v>
      </c>
      <c r="E30">
        <v>850</v>
      </c>
      <c r="F30" s="1">
        <v>4.72</v>
      </c>
      <c r="G30" s="1">
        <v>0.93</v>
      </c>
      <c r="H30" s="1">
        <v>0.87</v>
      </c>
      <c r="I30" s="1">
        <v>0.06</v>
      </c>
      <c r="J30">
        <v>180</v>
      </c>
      <c r="K30">
        <v>315</v>
      </c>
      <c r="L30">
        <v>535</v>
      </c>
      <c r="M30">
        <v>122</v>
      </c>
      <c r="N30">
        <v>57</v>
      </c>
      <c r="O30" s="1">
        <v>-0.53</v>
      </c>
      <c r="P30">
        <v>39</v>
      </c>
      <c r="Q30" s="2">
        <v>0.371</v>
      </c>
      <c r="R30" s="2">
        <v>0.629</v>
      </c>
      <c r="S30" s="2">
        <v>0.67800000000000005</v>
      </c>
      <c r="W30" t="str">
        <f>INT(C30/10)*10&amp;"'s"</f>
        <v>2010's</v>
      </c>
    </row>
    <row r="31" spans="1:23" x14ac:dyDescent="0.3">
      <c r="A31" t="s">
        <v>49</v>
      </c>
      <c r="B31" t="s">
        <v>49</v>
      </c>
      <c r="C31">
        <v>2011</v>
      </c>
      <c r="D31" t="s">
        <v>67</v>
      </c>
      <c r="E31">
        <v>449</v>
      </c>
      <c r="F31" s="1">
        <v>2.99</v>
      </c>
      <c r="G31" s="1">
        <v>0.77</v>
      </c>
      <c r="H31" s="1">
        <v>0.76</v>
      </c>
      <c r="I31" s="1">
        <v>0.01</v>
      </c>
      <c r="J31">
        <v>150</v>
      </c>
      <c r="K31">
        <v>181</v>
      </c>
      <c r="L31">
        <v>268</v>
      </c>
      <c r="M31">
        <v>65</v>
      </c>
      <c r="N31">
        <v>34</v>
      </c>
      <c r="O31" s="1">
        <v>-0.48</v>
      </c>
      <c r="P31">
        <v>36.299999999999997</v>
      </c>
      <c r="Q31" s="2">
        <v>0.40300000000000002</v>
      </c>
      <c r="R31" s="2">
        <v>0.59699999999999998</v>
      </c>
      <c r="S31" s="2">
        <v>0.433</v>
      </c>
      <c r="W31" t="str">
        <f>INT(C31/10)*10&amp;"'s"</f>
        <v>2010's</v>
      </c>
    </row>
    <row r="32" spans="1:23" x14ac:dyDescent="0.3">
      <c r="A32" t="s">
        <v>52</v>
      </c>
      <c r="B32" t="s">
        <v>18</v>
      </c>
      <c r="C32">
        <v>2023</v>
      </c>
      <c r="D32" t="s">
        <v>68</v>
      </c>
      <c r="E32">
        <v>476</v>
      </c>
      <c r="F32" s="1">
        <v>1.9</v>
      </c>
      <c r="G32" s="1">
        <v>0.47</v>
      </c>
      <c r="H32" s="1">
        <v>0.83</v>
      </c>
      <c r="I32" s="1">
        <v>0.36</v>
      </c>
      <c r="J32">
        <v>250</v>
      </c>
      <c r="K32">
        <v>213</v>
      </c>
      <c r="L32">
        <v>263</v>
      </c>
      <c r="M32">
        <v>104</v>
      </c>
      <c r="N32">
        <v>32</v>
      </c>
      <c r="O32" s="1">
        <v>-0.69</v>
      </c>
      <c r="P32">
        <v>21.8</v>
      </c>
      <c r="Q32" s="2">
        <v>0.44800000000000001</v>
      </c>
      <c r="R32" s="2">
        <v>0.55200000000000005</v>
      </c>
      <c r="S32" s="2">
        <v>0.41599999999999998</v>
      </c>
      <c r="W32" t="str">
        <f>INT(C32/10)*10&amp;"'s"</f>
        <v>2020's</v>
      </c>
    </row>
    <row r="33" spans="1:23" x14ac:dyDescent="0.3">
      <c r="A33" t="s">
        <v>53</v>
      </c>
      <c r="B33" t="s">
        <v>36</v>
      </c>
      <c r="C33">
        <v>2023</v>
      </c>
      <c r="D33" t="s">
        <v>68</v>
      </c>
      <c r="E33">
        <v>845</v>
      </c>
      <c r="F33" s="1">
        <v>3.38</v>
      </c>
      <c r="G33" s="1">
        <v>0.82</v>
      </c>
      <c r="H33" s="1">
        <v>0.95</v>
      </c>
      <c r="I33" s="1">
        <v>-0.13</v>
      </c>
      <c r="J33">
        <v>250</v>
      </c>
      <c r="K33">
        <v>358</v>
      </c>
      <c r="L33">
        <v>487</v>
      </c>
      <c r="M33">
        <v>118</v>
      </c>
      <c r="N33">
        <v>49</v>
      </c>
      <c r="O33" s="1">
        <v>-0.59</v>
      </c>
      <c r="P33">
        <v>14</v>
      </c>
      <c r="Q33" s="2">
        <v>0.42399999999999999</v>
      </c>
      <c r="R33" s="2">
        <v>0.57599999999999996</v>
      </c>
      <c r="S33" s="2">
        <v>0.47199999999999998</v>
      </c>
      <c r="W33" t="str">
        <f>INT(C33/10)*10&amp;"'s"</f>
        <v>2020's</v>
      </c>
    </row>
    <row r="34" spans="1:23" x14ac:dyDescent="0.3">
      <c r="A34" t="s">
        <v>54</v>
      </c>
      <c r="B34" t="s">
        <v>27</v>
      </c>
      <c r="C34">
        <v>2023</v>
      </c>
      <c r="D34" t="s">
        <v>68</v>
      </c>
      <c r="E34">
        <v>503</v>
      </c>
      <c r="F34" s="1">
        <v>2.0099999999999998</v>
      </c>
      <c r="G34" s="1">
        <v>0.56999999999999995</v>
      </c>
      <c r="H34" s="1">
        <v>0.73</v>
      </c>
      <c r="I34" s="1">
        <v>-0.16</v>
      </c>
      <c r="J34">
        <v>250</v>
      </c>
      <c r="K34">
        <v>215</v>
      </c>
      <c r="L34">
        <v>288</v>
      </c>
      <c r="M34">
        <v>81</v>
      </c>
      <c r="N34">
        <v>27</v>
      </c>
      <c r="O34" s="1">
        <v>-0.67</v>
      </c>
      <c r="P34">
        <v>16.100000000000001</v>
      </c>
      <c r="Q34" s="2">
        <v>0.42699999999999999</v>
      </c>
      <c r="R34" s="2">
        <v>0.57299999999999995</v>
      </c>
      <c r="S34" s="2">
        <v>0.32400000000000001</v>
      </c>
      <c r="W34" t="str">
        <f>INT(C34/10)*10&amp;"'s"</f>
        <v>2020's</v>
      </c>
    </row>
    <row r="35" spans="1:23" x14ac:dyDescent="0.3">
      <c r="A35" t="s">
        <v>55</v>
      </c>
      <c r="B35" t="s">
        <v>44</v>
      </c>
      <c r="C35">
        <v>2023</v>
      </c>
      <c r="D35" t="s">
        <v>68</v>
      </c>
      <c r="E35">
        <v>680</v>
      </c>
      <c r="F35" s="1">
        <v>6.81</v>
      </c>
      <c r="G35" s="1">
        <v>0.96</v>
      </c>
      <c r="H35" s="1">
        <v>0.94</v>
      </c>
      <c r="I35" s="1">
        <v>0.02</v>
      </c>
      <c r="J35">
        <v>100</v>
      </c>
      <c r="K35">
        <v>380</v>
      </c>
      <c r="L35">
        <v>300</v>
      </c>
      <c r="M35">
        <v>120</v>
      </c>
      <c r="N35">
        <v>52</v>
      </c>
      <c r="O35" s="1">
        <v>-0.56999999999999995</v>
      </c>
      <c r="P35">
        <v>17.600000000000001</v>
      </c>
      <c r="Q35" s="2">
        <v>0.55900000000000005</v>
      </c>
      <c r="R35" s="2">
        <v>0.441</v>
      </c>
      <c r="S35" s="2">
        <v>1.2</v>
      </c>
      <c r="W35" t="str">
        <f>INT(C35/10)*10&amp;"'s"</f>
        <v>2020's</v>
      </c>
    </row>
    <row r="36" spans="1:23" x14ac:dyDescent="0.3">
      <c r="A36" t="s">
        <v>56</v>
      </c>
      <c r="B36" t="s">
        <v>56</v>
      </c>
      <c r="C36">
        <v>2016</v>
      </c>
      <c r="D36" t="s">
        <v>67</v>
      </c>
      <c r="E36">
        <v>783</v>
      </c>
      <c r="F36" s="1">
        <v>13.5</v>
      </c>
      <c r="G36" s="1">
        <v>0.85</v>
      </c>
      <c r="H36" s="1">
        <v>0.9</v>
      </c>
      <c r="I36" s="1">
        <v>0.05</v>
      </c>
      <c r="J36">
        <v>58</v>
      </c>
      <c r="K36">
        <v>363</v>
      </c>
      <c r="L36">
        <v>420</v>
      </c>
      <c r="M36">
        <v>132.4</v>
      </c>
      <c r="N36">
        <v>56.5</v>
      </c>
      <c r="O36" s="1">
        <v>-0.56999999999999995</v>
      </c>
      <c r="P36">
        <v>0.1691</v>
      </c>
      <c r="Q36" s="2">
        <v>0.46360000000000001</v>
      </c>
      <c r="R36" s="2">
        <v>0.53639999999999999</v>
      </c>
      <c r="S36" s="2">
        <v>2.2827999999999999</v>
      </c>
      <c r="W36" t="str">
        <f>INT(C36/10)*10&amp;"'s"</f>
        <v>2010's</v>
      </c>
    </row>
    <row r="37" spans="1:23" x14ac:dyDescent="0.3">
      <c r="A37" t="s">
        <v>57</v>
      </c>
      <c r="B37" t="s">
        <v>56</v>
      </c>
      <c r="C37">
        <v>2018</v>
      </c>
      <c r="D37" t="s">
        <v>67</v>
      </c>
      <c r="E37">
        <v>786</v>
      </c>
      <c r="F37" s="1">
        <v>7.14</v>
      </c>
      <c r="G37" s="1">
        <v>0.84</v>
      </c>
      <c r="H37" s="1">
        <v>0.85</v>
      </c>
      <c r="I37" s="1">
        <v>0.01</v>
      </c>
      <c r="J37">
        <v>110</v>
      </c>
      <c r="K37">
        <v>324</v>
      </c>
      <c r="L37">
        <v>462</v>
      </c>
      <c r="M37">
        <v>125.5</v>
      </c>
      <c r="N37">
        <v>43.5</v>
      </c>
      <c r="O37" s="1">
        <v>-0.65</v>
      </c>
      <c r="P37">
        <v>0.15970000000000001</v>
      </c>
      <c r="Q37" s="2">
        <v>0.41220000000000001</v>
      </c>
      <c r="R37" s="2">
        <v>0.58779999999999999</v>
      </c>
      <c r="S37" s="2">
        <v>1.1409</v>
      </c>
      <c r="W37" t="str">
        <f>INT(C37/10)*10&amp;"'s"</f>
        <v>2010's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F89A-15B2-4605-933D-B5C1A714CA0D}">
  <dimension ref="A3:B15"/>
  <sheetViews>
    <sheetView workbookViewId="0">
      <selection activeCell="E24" sqref="E24"/>
    </sheetView>
  </sheetViews>
  <sheetFormatPr defaultRowHeight="14.4" x14ac:dyDescent="0.3"/>
  <cols>
    <col min="1" max="1" width="14.44140625" bestFit="1" customWidth="1"/>
    <col min="2" max="2" width="23.88671875" bestFit="1" customWidth="1"/>
  </cols>
  <sheetData>
    <row r="3" spans="1:2" x14ac:dyDescent="0.3">
      <c r="A3" s="4" t="s">
        <v>59</v>
      </c>
      <c r="B3" t="s">
        <v>62</v>
      </c>
    </row>
    <row r="4" spans="1:2" x14ac:dyDescent="0.3">
      <c r="A4" s="5" t="s">
        <v>18</v>
      </c>
      <c r="B4" s="6">
        <v>539</v>
      </c>
    </row>
    <row r="5" spans="1:2" x14ac:dyDescent="0.3">
      <c r="A5" s="5" t="s">
        <v>21</v>
      </c>
      <c r="B5" s="6">
        <v>1938.75</v>
      </c>
    </row>
    <row r="6" spans="1:2" x14ac:dyDescent="0.3">
      <c r="A6" s="5" t="s">
        <v>24</v>
      </c>
      <c r="B6" s="6">
        <v>1095.5</v>
      </c>
    </row>
    <row r="7" spans="1:2" x14ac:dyDescent="0.3">
      <c r="A7" s="5" t="s">
        <v>28</v>
      </c>
      <c r="B7" s="6">
        <v>745</v>
      </c>
    </row>
    <row r="8" spans="1:2" x14ac:dyDescent="0.3">
      <c r="A8" s="5" t="s">
        <v>56</v>
      </c>
      <c r="B8" s="6">
        <v>784.5</v>
      </c>
    </row>
    <row r="9" spans="1:2" x14ac:dyDescent="0.3">
      <c r="A9" s="5" t="s">
        <v>32</v>
      </c>
      <c r="B9" s="6">
        <v>814</v>
      </c>
    </row>
    <row r="10" spans="1:2" x14ac:dyDescent="0.3">
      <c r="A10" s="5" t="s">
        <v>36</v>
      </c>
      <c r="B10" s="6">
        <v>828</v>
      </c>
    </row>
    <row r="11" spans="1:2" x14ac:dyDescent="0.3">
      <c r="A11" s="5" t="s">
        <v>39</v>
      </c>
      <c r="B11" s="6">
        <v>807</v>
      </c>
    </row>
    <row r="12" spans="1:2" x14ac:dyDescent="0.3">
      <c r="A12" s="5" t="s">
        <v>44</v>
      </c>
      <c r="B12" s="6">
        <v>1150.25</v>
      </c>
    </row>
    <row r="13" spans="1:2" x14ac:dyDescent="0.3">
      <c r="A13" s="5" t="s">
        <v>49</v>
      </c>
      <c r="B13" s="6">
        <v>672</v>
      </c>
    </row>
    <row r="14" spans="1:2" x14ac:dyDescent="0.3">
      <c r="A14" s="5" t="s">
        <v>27</v>
      </c>
      <c r="B14" s="6">
        <v>518.33333333333337</v>
      </c>
    </row>
    <row r="15" spans="1:2" x14ac:dyDescent="0.3">
      <c r="A15" s="5" t="s">
        <v>60</v>
      </c>
      <c r="B15" s="6">
        <v>897.19444444444446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4414E-E58B-45D0-9887-D56677599D59}">
  <dimension ref="A3:B9"/>
  <sheetViews>
    <sheetView workbookViewId="0">
      <selection activeCell="E25" sqref="E25"/>
    </sheetView>
  </sheetViews>
  <sheetFormatPr defaultRowHeight="14.4" x14ac:dyDescent="0.3"/>
  <cols>
    <col min="1" max="1" width="22.77734375" bestFit="1" customWidth="1"/>
    <col min="2" max="2" width="16.44140625" bestFit="1" customWidth="1"/>
  </cols>
  <sheetData>
    <row r="3" spans="1:2" x14ac:dyDescent="0.3">
      <c r="A3" s="4" t="s">
        <v>59</v>
      </c>
      <c r="B3" t="s">
        <v>65</v>
      </c>
    </row>
    <row r="4" spans="1:2" x14ac:dyDescent="0.3">
      <c r="A4" s="5" t="s">
        <v>20</v>
      </c>
      <c r="B4" s="6">
        <v>1395</v>
      </c>
    </row>
    <row r="5" spans="1:2" x14ac:dyDescent="0.3">
      <c r="A5" s="5" t="s">
        <v>22</v>
      </c>
      <c r="B5" s="6">
        <v>2797</v>
      </c>
    </row>
    <row r="6" spans="1:2" x14ac:dyDescent="0.3">
      <c r="A6" s="5" t="s">
        <v>23</v>
      </c>
      <c r="B6" s="6">
        <v>2048</v>
      </c>
    </row>
    <row r="7" spans="1:2" x14ac:dyDescent="0.3">
      <c r="A7" s="5" t="s">
        <v>46</v>
      </c>
      <c r="B7" s="6">
        <v>1911</v>
      </c>
    </row>
    <row r="8" spans="1:2" x14ac:dyDescent="0.3">
      <c r="A8" s="5" t="s">
        <v>47</v>
      </c>
      <c r="B8" s="6">
        <v>1515</v>
      </c>
    </row>
    <row r="9" spans="1:2" x14ac:dyDescent="0.3">
      <c r="A9" s="5" t="s">
        <v>60</v>
      </c>
      <c r="B9" s="6">
        <v>9666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4C448-8F16-46E0-81C0-3D259B9C8D8B}">
  <dimension ref="A3:B7"/>
  <sheetViews>
    <sheetView workbookViewId="0">
      <selection activeCell="K23" sqref="K23"/>
    </sheetView>
  </sheetViews>
  <sheetFormatPr defaultRowHeight="14.4" x14ac:dyDescent="0.3"/>
  <cols>
    <col min="1" max="1" width="12.44140625" bestFit="1" customWidth="1"/>
    <col min="2" max="2" width="21" bestFit="1" customWidth="1"/>
  </cols>
  <sheetData>
    <row r="3" spans="1:2" x14ac:dyDescent="0.3">
      <c r="A3" s="4" t="s">
        <v>59</v>
      </c>
      <c r="B3" t="s">
        <v>61</v>
      </c>
    </row>
    <row r="4" spans="1:2" x14ac:dyDescent="0.3">
      <c r="A4" s="5" t="s">
        <v>69</v>
      </c>
      <c r="B4" s="6">
        <v>850</v>
      </c>
    </row>
    <row r="5" spans="1:2" x14ac:dyDescent="0.3">
      <c r="A5" s="5" t="s">
        <v>67</v>
      </c>
      <c r="B5" s="6">
        <v>23269</v>
      </c>
    </row>
    <row r="6" spans="1:2" x14ac:dyDescent="0.3">
      <c r="A6" s="5" t="s">
        <v>68</v>
      </c>
      <c r="B6" s="6">
        <v>8180</v>
      </c>
    </row>
    <row r="7" spans="1:2" x14ac:dyDescent="0.3">
      <c r="A7" s="5" t="s">
        <v>60</v>
      </c>
      <c r="B7" s="6">
        <v>32299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Marvel Movies</vt:lpstr>
      <vt:lpstr>Average worldwide gross</vt:lpstr>
      <vt:lpstr>Top 5</vt:lpstr>
      <vt:lpstr>Per 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Sai Pratyush BTech 2027</cp:lastModifiedBy>
  <dcterms:created xsi:type="dcterms:W3CDTF">2025-08-29T10:46:56Z</dcterms:created>
  <dcterms:modified xsi:type="dcterms:W3CDTF">2025-08-29T10:46:56Z</dcterms:modified>
</cp:coreProperties>
</file>