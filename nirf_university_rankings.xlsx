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d.docs.live.net/51d61c3878d9def3/Desktop/Plan 1.0/"/>
    </mc:Choice>
  </mc:AlternateContent>
  <xr:revisionPtr revIDLastSave="0" documentId="8_{0D41B47C-3AD5-4DD4-9AAB-DD873D9CA0E8}" xr6:coauthVersionLast="47" xr6:coauthVersionMax="47" xr10:uidLastSave="{00000000-0000-0000-0000-000000000000}"/>
  <bookViews>
    <workbookView xWindow="-108" yWindow="-108" windowWidth="23256" windowHeight="12456" xr2:uid="{20FECA7D-33DC-49AB-8868-EAA248692C0D}"/>
  </bookViews>
  <sheets>
    <sheet name="Dashboard" sheetId="2" r:id="rId1"/>
    <sheet name="nirf_university_rankings" sheetId="1" r:id="rId2"/>
    <sheet name="Avg Score per state" sheetId="3" r:id="rId3"/>
    <sheet name="count of bands" sheetId="4" r:id="rId4"/>
    <sheet name="Total Score per tier" sheetId="5" r:id="rId5"/>
  </sheets>
  <definedNames>
    <definedName name="Slicer_band">#N/A</definedName>
    <definedName name="Slicer_state">#N/A</definedName>
    <definedName name="Slicer_tier">#N/A</definedName>
  </definedNames>
  <calcPr calcId="0"/>
  <pivotCaches>
    <pivotCache cacheId="7"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2" i="1"/>
  <c r="G3" i="1" a="1"/>
  <c r="G3" i="1" s="1"/>
  <c r="G4" i="1" a="1"/>
  <c r="G4" i="1"/>
  <c r="G5" i="1" a="1"/>
  <c r="G5" i="1"/>
  <c r="G6" i="1" a="1"/>
  <c r="G6" i="1"/>
  <c r="G7" i="1" a="1"/>
  <c r="G7" i="1"/>
  <c r="G8" i="1" a="1"/>
  <c r="G8" i="1"/>
  <c r="G9" i="1" a="1"/>
  <c r="G9" i="1" s="1"/>
  <c r="G10" i="1" a="1"/>
  <c r="G10" i="1"/>
  <c r="G11" i="1" a="1"/>
  <c r="G11" i="1"/>
  <c r="G12" i="1" a="1"/>
  <c r="G12" i="1"/>
  <c r="G13" i="1" a="1"/>
  <c r="G13" i="1"/>
  <c r="G14" i="1" a="1"/>
  <c r="G14" i="1"/>
  <c r="G15" i="1" a="1"/>
  <c r="G15" i="1" s="1"/>
  <c r="G16" i="1" a="1"/>
  <c r="G16" i="1"/>
  <c r="G17" i="1" a="1"/>
  <c r="G17" i="1"/>
  <c r="G18" i="1" a="1"/>
  <c r="G18" i="1"/>
  <c r="G19" i="1" a="1"/>
  <c r="G19" i="1"/>
  <c r="G20" i="1" a="1"/>
  <c r="G20" i="1"/>
  <c r="G21" i="1" a="1"/>
  <c r="G21" i="1" s="1"/>
  <c r="G22" i="1" a="1"/>
  <c r="G22" i="1"/>
  <c r="G23" i="1" a="1"/>
  <c r="G23" i="1"/>
  <c r="G24" i="1" a="1"/>
  <c r="G24" i="1"/>
  <c r="G25" i="1" a="1"/>
  <c r="G25" i="1"/>
  <c r="G26" i="1" a="1"/>
  <c r="G26" i="1"/>
  <c r="G27" i="1" a="1"/>
  <c r="G27" i="1" s="1"/>
  <c r="G28" i="1" a="1"/>
  <c r="G28" i="1"/>
  <c r="G29" i="1" a="1"/>
  <c r="G29" i="1"/>
  <c r="G30" i="1" a="1"/>
  <c r="G30" i="1"/>
  <c r="G31" i="1" a="1"/>
  <c r="G31" i="1"/>
  <c r="G32" i="1" a="1"/>
  <c r="G32" i="1"/>
  <c r="G33" i="1" a="1"/>
  <c r="G33" i="1" s="1"/>
  <c r="G34" i="1" a="1"/>
  <c r="G34" i="1"/>
  <c r="G35" i="1" a="1"/>
  <c r="G35" i="1"/>
  <c r="G36" i="1" a="1"/>
  <c r="G36" i="1"/>
  <c r="G37" i="1" a="1"/>
  <c r="G37" i="1"/>
  <c r="G38" i="1" a="1"/>
  <c r="G38" i="1"/>
  <c r="G39" i="1" a="1"/>
  <c r="G39" i="1" s="1"/>
  <c r="G40" i="1" a="1"/>
  <c r="G40" i="1"/>
  <c r="G41" i="1" a="1"/>
  <c r="G41" i="1"/>
  <c r="G42" i="1" a="1"/>
  <c r="G42" i="1"/>
  <c r="G43" i="1" a="1"/>
  <c r="G43" i="1"/>
  <c r="G44" i="1" a="1"/>
  <c r="G44" i="1"/>
  <c r="G45" i="1" a="1"/>
  <c r="G45" i="1" s="1"/>
  <c r="G46" i="1" a="1"/>
  <c r="G46" i="1"/>
  <c r="G47" i="1" a="1"/>
  <c r="G47" i="1"/>
  <c r="G48" i="1" a="1"/>
  <c r="G48" i="1"/>
  <c r="G49" i="1" a="1"/>
  <c r="G49" i="1"/>
  <c r="G50" i="1" a="1"/>
  <c r="G50" i="1"/>
  <c r="G51" i="1" a="1"/>
  <c r="G51" i="1" s="1"/>
  <c r="G52" i="1" a="1"/>
  <c r="G52" i="1"/>
  <c r="G53" i="1" a="1"/>
  <c r="G53" i="1"/>
  <c r="G54" i="1" a="1"/>
  <c r="G54" i="1"/>
  <c r="G55" i="1" a="1"/>
  <c r="G55" i="1"/>
  <c r="G56" i="1" a="1"/>
  <c r="G56" i="1"/>
  <c r="G57" i="1" a="1"/>
  <c r="G57" i="1" s="1"/>
  <c r="G58" i="1" a="1"/>
  <c r="G58" i="1"/>
  <c r="G59" i="1" a="1"/>
  <c r="G59" i="1"/>
  <c r="G60" i="1" a="1"/>
  <c r="G60" i="1"/>
  <c r="G61" i="1" a="1"/>
  <c r="G61" i="1"/>
  <c r="G62" i="1" a="1"/>
  <c r="G62" i="1"/>
  <c r="G63" i="1" a="1"/>
  <c r="G63" i="1" s="1"/>
  <c r="G64" i="1" a="1"/>
  <c r="G64" i="1"/>
  <c r="G65" i="1" a="1"/>
  <c r="G65" i="1"/>
  <c r="G66" i="1" a="1"/>
  <c r="G66" i="1"/>
  <c r="G67" i="1" a="1"/>
  <c r="G67" i="1"/>
  <c r="G68" i="1" a="1"/>
  <c r="G68" i="1"/>
  <c r="G69" i="1" a="1"/>
  <c r="G69" i="1" s="1"/>
  <c r="G70" i="1" a="1"/>
  <c r="G70" i="1"/>
  <c r="G71" i="1" a="1"/>
  <c r="G71" i="1"/>
  <c r="G72" i="1" a="1"/>
  <c r="G72" i="1"/>
  <c r="G73" i="1" a="1"/>
  <c r="G73" i="1"/>
  <c r="G74" i="1" a="1"/>
  <c r="G74" i="1"/>
  <c r="G75" i="1" a="1"/>
  <c r="G75" i="1" s="1"/>
  <c r="G76" i="1" a="1"/>
  <c r="G76" i="1"/>
  <c r="G77" i="1" a="1"/>
  <c r="G77" i="1"/>
  <c r="G78" i="1" a="1"/>
  <c r="G78" i="1"/>
  <c r="G79" i="1" a="1"/>
  <c r="G79" i="1"/>
  <c r="G80" i="1" a="1"/>
  <c r="G80" i="1"/>
  <c r="G81" i="1" a="1"/>
  <c r="G81" i="1" s="1"/>
  <c r="G82" i="1" a="1"/>
  <c r="G82" i="1"/>
  <c r="G83" i="1" a="1"/>
  <c r="G83" i="1"/>
  <c r="G84" i="1" a="1"/>
  <c r="G84" i="1"/>
  <c r="G85" i="1" a="1"/>
  <c r="G85" i="1"/>
  <c r="G86" i="1" a="1"/>
  <c r="G86" i="1"/>
  <c r="G87" i="1" a="1"/>
  <c r="G87" i="1" s="1"/>
  <c r="G88" i="1" a="1"/>
  <c r="G88" i="1"/>
  <c r="G89" i="1" a="1"/>
  <c r="G89" i="1"/>
  <c r="G90" i="1" a="1"/>
  <c r="G90" i="1"/>
  <c r="G91" i="1" a="1"/>
  <c r="G91" i="1"/>
  <c r="G92" i="1" a="1"/>
  <c r="G92" i="1"/>
  <c r="G93" i="1" a="1"/>
  <c r="G93" i="1" s="1"/>
  <c r="G94" i="1" a="1"/>
  <c r="G94" i="1"/>
  <c r="G95" i="1" a="1"/>
  <c r="G95" i="1"/>
  <c r="G96" i="1" a="1"/>
  <c r="G96" i="1"/>
  <c r="G97" i="1" a="1"/>
  <c r="G97" i="1"/>
  <c r="G98" i="1" a="1"/>
  <c r="G98" i="1"/>
  <c r="G99" i="1" a="1"/>
  <c r="G99" i="1" s="1"/>
  <c r="G100" i="1" a="1"/>
  <c r="G100" i="1"/>
  <c r="G101" i="1" a="1"/>
  <c r="G101" i="1"/>
  <c r="G2" i="1" a="1"/>
  <c r="G2"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<sst xmlns="http://schemas.openxmlformats.org/spreadsheetml/2006/main" count="446" uniqueCount="304">
  <si>
    <t>Institute_id</t>
  </si>
  <si>
    <t>name</t>
  </si>
  <si>
    <t>city</t>
  </si>
  <si>
    <t>state</t>
  </si>
  <si>
    <t>Score</t>
  </si>
  <si>
    <t>ranking</t>
  </si>
  <si>
    <t>IR-O-U-0220</t>
  </si>
  <si>
    <t>Bengaluru</t>
  </si>
  <si>
    <t>Karnataka</t>
  </si>
  <si>
    <t>IR-O-U-0109</t>
  </si>
  <si>
    <t>New Delhi</t>
  </si>
  <si>
    <t>Delhi</t>
  </si>
  <si>
    <t>IR-O-U-0108</t>
  </si>
  <si>
    <t>IR-O-U-0234</t>
  </si>
  <si>
    <t>Manipal</t>
  </si>
  <si>
    <t>IR-O-U-0500</t>
  </si>
  <si>
    <t>Varanasi</t>
  </si>
  <si>
    <t>Uttar Pradesh</t>
  </si>
  <si>
    <t>IR-O-U-0120</t>
  </si>
  <si>
    <t>IR-O-U-0436</t>
  </si>
  <si>
    <t>Coimbatore</t>
  </si>
  <si>
    <t>Tamil Nadu</t>
  </si>
  <si>
    <t>IR-O-U-0496</t>
  </si>
  <si>
    <t>Aligarh</t>
  </si>
  <si>
    <t>IR-O-U-0575</t>
  </si>
  <si>
    <t>Kolkata</t>
  </si>
  <si>
    <t>West Bengal</t>
  </si>
  <si>
    <t>IR-O-U-0490</t>
  </si>
  <si>
    <t>Vellore</t>
  </si>
  <si>
    <t>IR-O-I-1441</t>
  </si>
  <si>
    <t>Chennai</t>
  </si>
  <si>
    <t>IR-O-U-0473</t>
  </si>
  <si>
    <t>IR-O-U-0439</t>
  </si>
  <si>
    <t>IR-O-U-0363</t>
  </si>
  <si>
    <t>Bhubaneswar</t>
  </si>
  <si>
    <t>Odisha</t>
  </si>
  <si>
    <t>IR-O-U-0356</t>
  </si>
  <si>
    <t>IR-O-U-0304</t>
  </si>
  <si>
    <t>Mumbai</t>
  </si>
  <si>
    <t>Maharashtra</t>
  </si>
  <si>
    <t>IR-O-U-0042</t>
  </si>
  <si>
    <t>Hyderabad</t>
  </si>
  <si>
    <t>Telangana</t>
  </si>
  <si>
    <t>IR-O-U-0570</t>
  </si>
  <si>
    <t>IR-O-U-0391</t>
  </si>
  <si>
    <t>Pilani</t>
  </si>
  <si>
    <t>Rajasthan</t>
  </si>
  <si>
    <t>IR-O-U-0747</t>
  </si>
  <si>
    <t>Mohali</t>
  </si>
  <si>
    <t>Punjab</t>
  </si>
  <si>
    <t>IR-O-U-0260</t>
  </si>
  <si>
    <t>Thiruvananthapuram</t>
  </si>
  <si>
    <t>Kerala</t>
  </si>
  <si>
    <t>IR-O-U-0020</t>
  </si>
  <si>
    <t>Vaddeswaram</t>
  </si>
  <si>
    <t>Andhra Pradesh</t>
  </si>
  <si>
    <t>IR-O-U-0323</t>
  </si>
  <si>
    <t>Pune</t>
  </si>
  <si>
    <t>IR-O-U-0222</t>
  </si>
  <si>
    <t>Mysuru</t>
  </si>
  <si>
    <t>IR-O-U-0006</t>
  </si>
  <si>
    <t>Visakhapatnam</t>
  </si>
  <si>
    <t>IR-O-U-0447</t>
  </si>
  <si>
    <t>IR-O-U-0379</t>
  </si>
  <si>
    <t>Phagwara</t>
  </si>
  <si>
    <t>IR-O-U-0476</t>
  </si>
  <si>
    <t>Thanjavur</t>
  </si>
  <si>
    <t>IR-O-I-1480</t>
  </si>
  <si>
    <t>Patiala</t>
  </si>
  <si>
    <t>IR-O-U-0458</t>
  </si>
  <si>
    <t>Srivilliputhur</t>
  </si>
  <si>
    <t>IR-O-U-0329</t>
  </si>
  <si>
    <t>IR-O-U-0497</t>
  </si>
  <si>
    <t>Gautam Budh Nagar</t>
  </si>
  <si>
    <t>IR-O-U-0498</t>
  </si>
  <si>
    <t>Lucknow</t>
  </si>
  <si>
    <t>IR-O-U-0253</t>
  </si>
  <si>
    <t>Cochin</t>
  </si>
  <si>
    <t>IR-O-U-0308</t>
  </si>
  <si>
    <t>IR-O-U-0448</t>
  </si>
  <si>
    <t>Tiruchirappalli</t>
  </si>
  <si>
    <t>IR-O-U-0262</t>
  </si>
  <si>
    <t>Kottayam</t>
  </si>
  <si>
    <t>IR-O-U-0078</t>
  </si>
  <si>
    <t>Chandigarh</t>
  </si>
  <si>
    <t>IR-O-I-1357</t>
  </si>
  <si>
    <t>IR-O-U-0052</t>
  </si>
  <si>
    <t>Guwahati</t>
  </si>
  <si>
    <t>Assam</t>
  </si>
  <si>
    <t>IR-O-U-0107</t>
  </si>
  <si>
    <t>IR-O-U-0295</t>
  </si>
  <si>
    <t>Wardha</t>
  </si>
  <si>
    <t>IR-O-U-0027</t>
  </si>
  <si>
    <t>IR-O-I-1110</t>
  </si>
  <si>
    <t>IR-O-U-0196</t>
  </si>
  <si>
    <t>Srinagar</t>
  </si>
  <si>
    <t>Jammu and Kashmir</t>
  </si>
  <si>
    <t>IR-O-U-0564</t>
  </si>
  <si>
    <t>Dehradun</t>
  </si>
  <si>
    <t>Uttarakhand</t>
  </si>
  <si>
    <t>IR-O-U-0435</t>
  </si>
  <si>
    <t>Karaikudi</t>
  </si>
  <si>
    <t>IR-O-U-0098</t>
  </si>
  <si>
    <t>IR-O-N-10</t>
  </si>
  <si>
    <t>IR-O-U-0195</t>
  </si>
  <si>
    <t>Jammu</t>
  </si>
  <si>
    <t>IR-O-U-0474</t>
  </si>
  <si>
    <t>IR-O-U-0555</t>
  </si>
  <si>
    <t>IR-O-U-0523</t>
  </si>
  <si>
    <t>IR-O-U-0235</t>
  </si>
  <si>
    <t>IR-O-I-1486</t>
  </si>
  <si>
    <t>IR-O-U-0470</t>
  </si>
  <si>
    <t>Salem</t>
  </si>
  <si>
    <t>IR-O-U-0381</t>
  </si>
  <si>
    <t>Ludhiana</t>
  </si>
  <si>
    <t>IR-O-U-0331</t>
  </si>
  <si>
    <t>IR-O-U-0003</t>
  </si>
  <si>
    <t>Guntur</t>
  </si>
  <si>
    <t>IR-O-U-0217</t>
  </si>
  <si>
    <t>IR-O-U-0318</t>
  </si>
  <si>
    <t>IR-O-U-0642</t>
  </si>
  <si>
    <t>Gautam Buddha Nagar</t>
  </si>
  <si>
    <t>IR-O-U-0463</t>
  </si>
  <si>
    <t>Madurai</t>
  </si>
  <si>
    <t>IR-O-U-0749</t>
  </si>
  <si>
    <t>Jaipur</t>
  </si>
  <si>
    <t>IR-O-U-0223</t>
  </si>
  <si>
    <t>IR-O-U-0239</t>
  </si>
  <si>
    <t>Mangaluru</t>
  </si>
  <si>
    <t>IR-O-U-0389</t>
  </si>
  <si>
    <t>Banasthali</t>
  </si>
  <si>
    <t>IR-O-U-0370</t>
  </si>
  <si>
    <t>Puducherry</t>
  </si>
  <si>
    <t>Pondicherry</t>
  </si>
  <si>
    <t>IR-O-U-0056</t>
  </si>
  <si>
    <t>Tezpur</t>
  </si>
  <si>
    <t>IR-O-U-0190</t>
  </si>
  <si>
    <t>Solan</t>
  </si>
  <si>
    <t>Himachal Pradesh</t>
  </si>
  <si>
    <t>IR-O-U-0168</t>
  </si>
  <si>
    <t>Ambala</t>
  </si>
  <si>
    <t>Haryana</t>
  </si>
  <si>
    <t>IR-O-U-0043</t>
  </si>
  <si>
    <t>IR-O-U-0446</t>
  </si>
  <si>
    <t>IR-O-U-0014</t>
  </si>
  <si>
    <t>IR-O-U-0249</t>
  </si>
  <si>
    <t>Belgaum</t>
  </si>
  <si>
    <t>IR-O-U-0136</t>
  </si>
  <si>
    <t>Ahmedabad</t>
  </si>
  <si>
    <t>Gujarat</t>
  </si>
  <si>
    <t>IR-O-U-0345</t>
  </si>
  <si>
    <t>Aizawl</t>
  </si>
  <si>
    <t>Mizoram</t>
  </si>
  <si>
    <t>IR-O-I-1361</t>
  </si>
  <si>
    <t>IR-O-U-0451</t>
  </si>
  <si>
    <t>Kelambakkam, Chengalpattu District</t>
  </si>
  <si>
    <t>IR-O-U-0099</t>
  </si>
  <si>
    <t>IR-O-U-0215</t>
  </si>
  <si>
    <t>IR-O-U-0202</t>
  </si>
  <si>
    <t>Ranchi</t>
  </si>
  <si>
    <t>Jharkhand</t>
  </si>
  <si>
    <t>IR-O-U-0372</t>
  </si>
  <si>
    <t>Bathinda</t>
  </si>
  <si>
    <t>IR-O-U-0485</t>
  </si>
  <si>
    <t>IR-O-U-0384</t>
  </si>
  <si>
    <t>Longowal</t>
  </si>
  <si>
    <t>IR-O-U-0541</t>
  </si>
  <si>
    <t>Greater Noida</t>
  </si>
  <si>
    <t>IR-O-U-0037</t>
  </si>
  <si>
    <t>Tirupati</t>
  </si>
  <si>
    <t>IR-O-U-0554</t>
  </si>
  <si>
    <t>Pantnagar</t>
  </si>
  <si>
    <t>IR-O-U-0251</t>
  </si>
  <si>
    <t>Malappuram</t>
  </si>
  <si>
    <t>IR-O-U-0248</t>
  </si>
  <si>
    <t>IR-O-U-0373</t>
  </si>
  <si>
    <t>Rajpura</t>
  </si>
  <si>
    <t>IR-O-U-0169</t>
  </si>
  <si>
    <t>Faridabad</t>
  </si>
  <si>
    <t>IR-O-U-0464</t>
  </si>
  <si>
    <t>Tirunelveli</t>
  </si>
  <si>
    <t>IR-O-U-0739</t>
  </si>
  <si>
    <t>Gorakhpur</t>
  </si>
  <si>
    <t>IR-O-U-0250</t>
  </si>
  <si>
    <t>IR-O-U-0489</t>
  </si>
  <si>
    <t>IR-O-U-0524</t>
  </si>
  <si>
    <t>IR-O-U-0444</t>
  </si>
  <si>
    <t>IR-O-U-0449</t>
  </si>
  <si>
    <t>Tiruvarur</t>
  </si>
  <si>
    <t>IR-O-C-6379</t>
  </si>
  <si>
    <t>Indian Institute Of Science, Bengalurumore Details | |</t>
  </si>
  <si>
    <t>Jawaharlal Nehru Universitymore Details | |</t>
  </si>
  <si>
    <t>Jamia Millia Islamiamore Details | |</t>
  </si>
  <si>
    <t>Manipal Academy Of Higher Education, Manipalmore Details | |</t>
  </si>
  <si>
    <t>Banaras Hindu Universitymore Details | |</t>
  </si>
  <si>
    <t>University Of Delhimore Details | |</t>
  </si>
  <si>
    <t>Amrita Vishwa Vidyapeethammore Details | |</t>
  </si>
  <si>
    <t>Aligarh Muslim Universitymore Details | |</t>
  </si>
  <si>
    <t>Jadavpur Universitymore Details | |</t>
  </si>
  <si>
    <t>Vellore Institute Of Technologymore Details | |</t>
  </si>
  <si>
    <t>Saveetha Institute Of Medical And Technical Sciencesmore Details | |</t>
  </si>
  <si>
    <t>S.R.M. Institute Of Science And Technologymore Details | |</t>
  </si>
  <si>
    <t>Anna Universitymore Details | |</t>
  </si>
  <si>
    <t>Siksha `O` Anusandhanmore Details | |</t>
  </si>
  <si>
    <t>Kalinga Institute Of Industrial Technologymore Details | |</t>
  </si>
  <si>
    <t>Homi Bhabha National Institutemore Details | |</t>
  </si>
  <si>
    <t>University Of Hyderabadmore Details | |</t>
  </si>
  <si>
    <t>Calcutta Universitymore Details | |</t>
  </si>
  <si>
    <t>Birla Institute Of Technology And Science, Pilanimore Details | |</t>
  </si>
  <si>
    <t>Chandigarh Universitymore Details | |</t>
  </si>
  <si>
    <t>Kerala Universitymore Details | |</t>
  </si>
  <si>
    <t>Koneru Lakshmaiah Education Foundation University (K L College Of Engineering)More Details | |</t>
  </si>
  <si>
    <t>Savitribai Phule Pune Universitymore Details | |</t>
  </si>
  <si>
    <t>Jss Academy Of Higher Education And Researchmore Details | |</t>
  </si>
  <si>
    <t>Andhra Universitymore Details | |</t>
  </si>
  <si>
    <t>Bharathiar Universitymore Details | |</t>
  </si>
  <si>
    <t>Lovely Professional Universitymore Details | |</t>
  </si>
  <si>
    <t>Shanmugha Arts Science Technology And Research Academymore Details | |</t>
  </si>
  <si>
    <t>Thapar Institute Of Engineering And Technology (Deemed-To-Be-University)More Details | |</t>
  </si>
  <si>
    <t>Kalasalingam Academy Of Research And Educationmore Details | |</t>
  </si>
  <si>
    <t>Symbiosis Internationalmore Details | |</t>
  </si>
  <si>
    <t>Amity Universitymore Details | |</t>
  </si>
  <si>
    <t>Babasaheb Bhimrao Ambedkar Universitymore Details | |</t>
  </si>
  <si>
    <t>Cochin University Of Science And Technologymore Details | |</t>
  </si>
  <si>
    <t>Institute Of Chemical Technologymore Details | |</t>
  </si>
  <si>
    <t>Bharathidasan Universitymore Details | |</t>
  </si>
  <si>
    <t>Mahatma Gandhi Universitymore Details | |</t>
  </si>
  <si>
    <t>Panjab Universitymore Details | |</t>
  </si>
  <si>
    <t>University Of Madrasmore Details | |</t>
  </si>
  <si>
    <t>Gauhati Universitymore Details | |</t>
  </si>
  <si>
    <t>Jamia Hamdardmore Details | |</t>
  </si>
  <si>
    <t>Datta Meghe Institute Of Higher Education And Researchmore Details | |</t>
  </si>
  <si>
    <t>Osmania Universitymore Details | |</t>
  </si>
  <si>
    <t>Dr. D. Y. Patil Vidyapeethmore Details | |</t>
  </si>
  <si>
    <t>University Of Kashmirmore Details | |</t>
  </si>
  <si>
    <t>Upesmore Details | |</t>
  </si>
  <si>
    <t>Alagappa Universitymore Details | |</t>
  </si>
  <si>
    <t>Delhi Technological Universitymore Details | |</t>
  </si>
  <si>
    <t>Svkm`S Narsee Monjee Institute Of Management Studies More Details | |</t>
  </si>
  <si>
    <t>University Of Jammumore Details | |</t>
  </si>
  <si>
    <t>Sathyabama Institute Of Science And Technologymore Details | |</t>
  </si>
  <si>
    <t>Graphic Era Universitymore Details | |</t>
  </si>
  <si>
    <t>King George`S Medical Universitymore Details | |</t>
  </si>
  <si>
    <t>Mysore Universitymore Details | |</t>
  </si>
  <si>
    <t>Sri Ramachandra Institute Of Higher Education And Researchmore Details | |</t>
  </si>
  <si>
    <t>Periyar Universitymore Details | |</t>
  </si>
  <si>
    <t>Punjab Agricultural Universitymore Details | |</t>
  </si>
  <si>
    <t>Tata Institute Of Social Sciencesmore Details | |</t>
  </si>
  <si>
    <t>Acharya Nagarjuna Universitymore Details | |</t>
  </si>
  <si>
    <t>Christ Universitymore Details | |</t>
  </si>
  <si>
    <t>Mumbai Universitymore Details | |</t>
  </si>
  <si>
    <t>Shiv Nadar Universitymore Details | |</t>
  </si>
  <si>
    <t>Madurai Kamaraj Universitymore Details | |</t>
  </si>
  <si>
    <t>Manipal University, Jaipurmore Details | |</t>
  </si>
  <si>
    <t>Jain University, Bangaloremore Details | |</t>
  </si>
  <si>
    <t>Nittemore Details | |</t>
  </si>
  <si>
    <t>Banasthali Vidyapithmore Details | |</t>
  </si>
  <si>
    <t>Sri Balaji Vidyapeeth Mahatma Gandhi Medical Collegemore Details | |</t>
  </si>
  <si>
    <t>Tezpur Universitymore Details | |</t>
  </si>
  <si>
    <t>Shoolini University Of Biotechnology And Management Sciencesmore Details | |</t>
  </si>
  <si>
    <t>Maharishi Markandeshwar (Deemed To Be University)More Details | |</t>
  </si>
  <si>
    <t>Vignan'S Foundation For Science, Technology And Researchmore Details | |</t>
  </si>
  <si>
    <t>Bharath Institute Of Higher Education And Researchmore Details | |</t>
  </si>
  <si>
    <t>International Institute Of Information Technology Hyderabadmore Details | |</t>
  </si>
  <si>
    <t>Visvesvaraya Technological Universitymore Details | |</t>
  </si>
  <si>
    <t>Gujarat Universitymore Details | |</t>
  </si>
  <si>
    <t>Mizoram Universitymore Details | |</t>
  </si>
  <si>
    <t>Bharati Vidyapeethmore Details | |</t>
  </si>
  <si>
    <t>Chettinad Academy Of Research And Educationmore Details | |</t>
  </si>
  <si>
    <t>Guru Gobind Singh Indraprastha Universitymore Details | |</t>
  </si>
  <si>
    <t>Bangalore Universitymore Details | |</t>
  </si>
  <si>
    <t>Birla Institute Of Technologymore Details | |</t>
  </si>
  <si>
    <t>Central University Of Punjabmore Details | |</t>
  </si>
  <si>
    <t>Tamil Nadu Agricultural Universitymore Details | |</t>
  </si>
  <si>
    <t>Sant Longowal Institute Of Engineering And Technologymore Details | |</t>
  </si>
  <si>
    <t>Sharda Universitymore Details | |</t>
  </si>
  <si>
    <t>Sri Venkateswara Universitymore Details | |</t>
  </si>
  <si>
    <t>G.B. Pant Universtiy Of Agriculture And Technologymore Details | |</t>
  </si>
  <si>
    <t>Calicut Universitymore Details | |</t>
  </si>
  <si>
    <t>University Of Agricultural Sciencesmore Details | |</t>
  </si>
  <si>
    <t>Chitkara Universitymore Details | |</t>
  </si>
  <si>
    <t>Manav Rachna International Institute Of Research And Studiesmore Details | |</t>
  </si>
  <si>
    <t>Manonmaniam Sundaranar University, Tirunelvelimore Details | |</t>
  </si>
  <si>
    <t>Madan Mohan Malaviya University Of Technologymore Details | |</t>
  </si>
  <si>
    <t>Yenepoya Universitymore Details | |</t>
  </si>
  <si>
    <t>Vel Tech Rangarajan Dr. Sagunthala R &amp; D Institute Of Science And Technologymore Details | |</t>
  </si>
  <si>
    <t>University Of Lucknowmore Details | |</t>
  </si>
  <si>
    <t>Avinashilingam Institute For Home Science And Higher Education For Womenmore Details | |</t>
  </si>
  <si>
    <t>Central University Of Tamil Nadumore Details | |</t>
  </si>
  <si>
    <t>Netaji Subhas University Of Technology (Nsut)More Details | |</t>
  </si>
  <si>
    <t>band</t>
  </si>
  <si>
    <t>tier</t>
  </si>
  <si>
    <t>location</t>
  </si>
  <si>
    <t>Row Labels</t>
  </si>
  <si>
    <t>Grand Total</t>
  </si>
  <si>
    <t>Sum of Score</t>
  </si>
  <si>
    <t>Average of Score</t>
  </si>
  <si>
    <t>Top 100</t>
  </si>
  <si>
    <t>Top 25</t>
  </si>
  <si>
    <t>Top 50</t>
  </si>
  <si>
    <t>Top 75</t>
  </si>
  <si>
    <t>Count of Institute_id</t>
  </si>
  <si>
    <t>Tier 1</t>
  </si>
  <si>
    <t>Tier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</si>
</sst>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[nirf_university_rankings.xlsx]Avg Score per state!PivotTable1</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b="1">
                <a:solidFill>
                  <a:schemeClr val="bg1"/>
                </a:solidFill>
              </a:rPr>
              <a:t>Average</a:t>
            </a:r>
            <a:r>
              <a:rPr lang="en-IN" b="1" baseline="0">
                <a:solidFill>
                  <a:schemeClr val="bg1"/>
                </a:solidFill>
              </a:rPr>
              <a:t> Score Per State</a:t>
            </a:r>
            <a:endParaRPr lang="en-IN" b="1">
              <a:solidFill>
                <a:schemeClr val="bg1"/>
              </a:solidFill>
            </a:endParaRPr>
          </a:p>
        </c:rich>
      </c:tx>
      <c:overlay val="0"/>
      <c:spPr>
        <a:solidFill>
          <a:schemeClr val="tx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'Avg Score per state'!$B$3</c:f>
              <c:strCache>
                <c:ptCount val="1"/>
                <c:pt idx="0">
                  <c:v>Total</c:v>
                </c:pt>
              </c:strCache>
            </c:strRef>
          </c:tx>
          <c:spPr>
            <a:ln w="28575" cap="rnd">
              <a:solidFill>
                <a:schemeClr val="accent2"/>
              </a:solidFill>
              <a:round/>
            </a:ln>
            <a:effectLst/>
          </c:spPr>
          <c:marker>
            <c:symbol val="none"/>
          </c:marker>
          <c:cat>
            <c:strRef>
              <c:f>'Avg Score per state'!$A$4:$A$26</c:f>
              <c:strCache>
                <c:ptCount val="22"/>
                <c:pt idx="0">
                  <c:v>Andhra Pradesh</c:v>
                </c:pt>
                <c:pt idx="1">
                  <c:v>Assam</c:v>
                </c:pt>
                <c:pt idx="2">
                  <c:v>Chandigarh</c:v>
                </c:pt>
                <c:pt idx="3">
                  <c:v>Delhi</c:v>
                </c:pt>
                <c:pt idx="4">
                  <c:v>Gujarat</c:v>
                </c:pt>
                <c:pt idx="5">
                  <c:v>Haryana</c:v>
                </c:pt>
                <c:pt idx="6">
                  <c:v>Himachal Pradesh</c:v>
                </c:pt>
                <c:pt idx="7">
                  <c:v>Jammu and Kashmir</c:v>
                </c:pt>
                <c:pt idx="8">
                  <c:v>Jharkhand</c:v>
                </c:pt>
                <c:pt idx="9">
                  <c:v>Karnataka</c:v>
                </c:pt>
                <c:pt idx="10">
                  <c:v>Kerala</c:v>
                </c:pt>
                <c:pt idx="11">
                  <c:v>Maharashtra</c:v>
                </c:pt>
                <c:pt idx="12">
                  <c:v>Mizoram</c:v>
                </c:pt>
                <c:pt idx="13">
                  <c:v>Odisha</c:v>
                </c:pt>
                <c:pt idx="14">
                  <c:v>Pondicherry</c:v>
                </c:pt>
                <c:pt idx="15">
                  <c:v>Punjab</c:v>
                </c:pt>
                <c:pt idx="16">
                  <c:v>Rajasthan</c:v>
                </c:pt>
                <c:pt idx="17">
                  <c:v>Tamil Nadu</c:v>
                </c:pt>
                <c:pt idx="18">
                  <c:v>Telangana</c:v>
                </c:pt>
                <c:pt idx="19">
                  <c:v>Uttar Pradesh</c:v>
                </c:pt>
                <c:pt idx="20">
                  <c:v>Uttarakhand</c:v>
                </c:pt>
                <c:pt idx="21">
                  <c:v>West Bengal</c:v>
                </c:pt>
              </c:strCache>
            </c:strRef>
          </c:cat>
          <c:val>
            <c:numRef>
              <c:f>'Avg Score per state'!$B$4:$B$26</c:f>
              <c:numCache>
                <c:formatCode>General</c:formatCode>
                <c:ptCount val="22"/>
                <c:pt idx="0">
                  <c:v>52.161999999999999</c:v>
                </c:pt>
                <c:pt idx="1">
                  <c:v>51.935000000000002</c:v>
                </c:pt>
                <c:pt idx="2">
                  <c:v>55.11</c:v>
                </c:pt>
                <c:pt idx="3">
                  <c:v>57.878571428571426</c:v>
                </c:pt>
                <c:pt idx="4">
                  <c:v>48.04</c:v>
                </c:pt>
                <c:pt idx="5">
                  <c:v>47.564999999999998</c:v>
                </c:pt>
                <c:pt idx="6">
                  <c:v>48.82</c:v>
                </c:pt>
                <c:pt idx="7">
                  <c:v>53.379999999999995</c:v>
                </c:pt>
                <c:pt idx="8">
                  <c:v>47.31</c:v>
                </c:pt>
                <c:pt idx="9">
                  <c:v>54.215454545454556</c:v>
                </c:pt>
                <c:pt idx="10">
                  <c:v>54.06</c:v>
                </c:pt>
                <c:pt idx="11">
                  <c:v>54.207999999999991</c:v>
                </c:pt>
                <c:pt idx="12">
                  <c:v>48.03</c:v>
                </c:pt>
                <c:pt idx="13">
                  <c:v>62.57</c:v>
                </c:pt>
                <c:pt idx="14">
                  <c:v>49.14</c:v>
                </c:pt>
                <c:pt idx="15">
                  <c:v>52.057142857142857</c:v>
                </c:pt>
                <c:pt idx="16">
                  <c:v>52.97</c:v>
                </c:pt>
                <c:pt idx="17">
                  <c:v>54.052727272727275</c:v>
                </c:pt>
                <c:pt idx="18">
                  <c:v>55.063333333333333</c:v>
                </c:pt>
                <c:pt idx="19">
                  <c:v>53.754444444444438</c:v>
                </c:pt>
                <c:pt idx="20">
                  <c:v>50.890000000000008</c:v>
                </c:pt>
                <c:pt idx="21">
                  <c:v>63.245000000000005</c:v>
                </c:pt>
              </c:numCache>
            </c:numRef>
          </c:val>
          <c:smooth val="0"/>
          <c:extLst>
            <c:ext xmlns:c16="http://schemas.microsoft.com/office/drawing/2014/chart" uri="{C3380CC4-5D6E-409C-BE32-E72D297353CC}">
              <c16:uniqueId val="{00000000-7DD1-4A6A-9606-BB42F568D7E4}"/>
            </c:ext>
          </c:extLst>
        </c:ser>
        <c:dLbls>
          <c:showLegendKey val="0"/>
          <c:showVal val="0"/>
          <c:showCatName val="0"/>
          <c:showSerName val="0"/>
          <c:showPercent val="0"/>
          <c:showBubbleSize val="0"/>
        </c:dLbls>
        <c:smooth val="0"/>
        <c:axId val="146535247"/>
        <c:axId val="146532847"/>
      </c:lineChart>
      <c:catAx>
        <c:axId val="14653524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State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32847"/>
        <c:crosses val="autoZero"/>
        <c:auto val="1"/>
        <c:lblAlgn val="ctr"/>
        <c:lblOffset val="100"/>
        <c:noMultiLvlLbl val="0"/>
      </c:catAx>
      <c:valAx>
        <c:axId val="1465328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Score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3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127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[nirf_university_rankings.xlsx]count of bands!PivotTable2</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Count per band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2"/>
          </a:solidFill>
          <a:ln>
            <a:noFill/>
          </a:ln>
          <a:effectLst>
            <a:outerShdw blurRad="317500" algn="ctr" rotWithShape="0">
              <a:prstClr val="black">
                <a:alpha val="25000"/>
              </a:prstClr>
            </a:outerShdw>
          </a:effectLst>
        </c:spPr>
      </c:pivotFmt>
      <c:pivotFmt>
        <c:idx val="9"/>
        <c:spPr>
          <a:solidFill>
            <a:schemeClr val="accent3"/>
          </a:solidFill>
          <a:ln>
            <a:noFill/>
          </a:ln>
          <a:effectLst>
            <a:outerShdw blurRad="317500" algn="ctr" rotWithShape="0">
              <a:prstClr val="black">
                <a:alpha val="25000"/>
              </a:prstClr>
            </a:outerShdw>
          </a:effectLst>
        </c:spPr>
      </c:pivotFmt>
      <c:pivotFmt>
        <c:idx val="10"/>
        <c:spPr>
          <a:solidFill>
            <a:schemeClr val="accent4"/>
          </a:solidFill>
          <a:ln>
            <a:noFill/>
          </a:ln>
          <a:effectLst>
            <a:outerShdw blurRad="317500" algn="ctr" rotWithShape="0">
              <a:prstClr val="black">
                <a:alpha val="25000"/>
              </a:prstClr>
            </a:outerShdw>
          </a:effectLst>
        </c:spPr>
      </c:pivotFmt>
    </c:pivotFmts>
    <c:plotArea>
      <c:layout/>
      <c:pieChart>
        <c:varyColors val="1"/>
        <c:ser>
          <c:idx val="0"/>
          <c:order val="0"/>
          <c:tx>
            <c:strRef>
              <c:f>'count of bands'!$B$3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28C-4492-BAAC-D19A6C421E3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28C-4492-BAAC-D19A6C421E30}"/>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28C-4492-BAAC-D19A6C421E30}"/>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028C-4492-BAAC-D19A6C421E3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'count of bands'!$A$4:$A$8</c:f>
              <c:strCache>
                <c:ptCount val="4"/>
                <c:pt idx="0">
                  <c:v>Top 100</c:v>
                </c:pt>
                <c:pt idx="1">
                  <c:v>Top 25</c:v>
                </c:pt>
                <c:pt idx="2">
                  <c:v>Top 50</c:v>
                </c:pt>
                <c:pt idx="3">
                  <c:v>Top 75</c:v>
                </c:pt>
              </c:strCache>
            </c:strRef>
          </c:cat>
          <c:val>
            <c:numRef>
              <c:f>'count of bands'!$B$4:$B$8</c:f>
              <c:numCache>
                <c:formatCode>General</c:formatCode>
                <c:ptCount val="4"/>
                <c:pt idx="0">
                  <c:v>25</c:v>
                </c:pt>
                <c:pt idx="1">
                  <c:v>25</c:v>
                </c:pt>
                <c:pt idx="2">
                  <c:v>25</c:v>
                </c:pt>
                <c:pt idx="3">
                  <c:v>25</c:v>
                </c:pt>
              </c:numCache>
            </c:numRef>
          </c:val>
          <c:extLst>
            <c:ext xmlns:c16="http://schemas.microsoft.com/office/drawing/2014/chart" uri="{C3380CC4-5D6E-409C-BE32-E72D297353CC}">
              <c16:uniqueId val="{00000008-028C-4492-BAAC-D19A6C421E3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[nirf_university_rankings.xlsx]Total Score per tier!PivotTable3</c:name>
    <c:fmtId val="3"/>
  </c:pivotSource>
  <c:chart>
    <c:title>
      <c:tx>
        <c:rich>
          <a:bodyPr rot="0" spcFirstLastPara="1" vertOverflow="ellipsis" vert="horz" wrap="square" anchor="ctr" anchorCtr="1"/>
          <a:lstStyle/>
          <a:p>
            <a:pPr>
              <a:defRPr sz="1400" b="1" i="0" u="none" strike="noStrike" kern="1200" spc="0" baseline="0">
                <a:ln w="15875">
                  <a:solidFill>
                    <a:schemeClr val="accent1"/>
                  </a:solidFill>
                </a:ln>
                <a:solidFill>
                  <a:schemeClr val="tx2">
                    <a:lumMod val="90000"/>
                    <a:lumOff val="10000"/>
                  </a:schemeClr>
                </a:solidFill>
                <a:latin typeface="+mn-lt"/>
                <a:ea typeface="+mn-ea"/>
                <a:cs typeface="+mn-cs"/>
              </a:defRPr>
            </a:pPr>
            <a:r>
              <a:rPr lang="en-IN" b="1">
                <a:ln w="15875">
                  <a:solidFill>
                    <a:schemeClr val="accent1"/>
                  </a:solidFill>
                </a:ln>
                <a:solidFill>
                  <a:schemeClr val="tx2">
                    <a:lumMod val="90000"/>
                    <a:lumOff val="10000"/>
                  </a:schemeClr>
                </a:solidFill>
              </a:rPr>
              <a:t>Total Score per tier</a:t>
            </a:r>
          </a:p>
        </c:rich>
      </c:tx>
      <c:overlay val="0"/>
      <c:spPr>
        <a:solidFill>
          <a:schemeClr val="bg2">
            <a:lumMod val="90000"/>
          </a:schemeClr>
        </a:solidFill>
        <a:ln>
          <a:noFill/>
        </a:ln>
        <a:effectLst/>
      </c:spPr>
      <c:txPr>
        <a:bodyPr rot="0" spcFirstLastPara="1" vertOverflow="ellipsis" vert="horz" wrap="square" anchor="ctr" anchorCtr="1"/>
        <a:lstStyle/>
        <a:p>
          <a:pPr>
            <a:defRPr sz="1400" b="1" i="0" u="none" strike="noStrike" kern="1200" spc="0" baseline="0">
              <a:ln w="15875">
                <a:solidFill>
                  <a:schemeClr val="accent1"/>
                </a:solidFill>
              </a:ln>
              <a:solidFill>
                <a:schemeClr val="tx2">
                  <a:lumMod val="90000"/>
                  <a:lumOff val="10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Score per tier'!$B$3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Score per tier'!$A$4:$A$6</c:f>
              <c:strCache>
                <c:ptCount val="2"/>
                <c:pt idx="0">
                  <c:v>Tier 1</c:v>
                </c:pt>
                <c:pt idx="1">
                  <c:v>Tier 2</c:v>
                </c:pt>
              </c:strCache>
            </c:strRef>
          </c:cat>
          <c:val>
            <c:numRef>
              <c:f>'Total Score per tier'!$B$4:$B$6</c:f>
              <c:numCache>
                <c:formatCode>General</c:formatCode>
                <c:ptCount val="2"/>
                <c:pt idx="0">
                  <c:v>3433.1100000000006</c:v>
                </c:pt>
                <c:pt idx="1">
                  <c:v>1955.5000000000005</c:v>
                </c:pt>
              </c:numCache>
            </c:numRef>
          </c:val>
          <c:extLst>
            <c:ext xmlns:c16="http://schemas.microsoft.com/office/drawing/2014/chart" uri="{C3380CC4-5D6E-409C-BE32-E72D297353CC}">
              <c16:uniqueId val="{00000000-B4D0-4E01-861C-F0EB55CA2C79}"/>
            </c:ext>
          </c:extLst>
        </c:ser>
        <c:dLbls>
          <c:dLblPos val="outEnd"/>
          <c:showLegendKey val="0"/>
          <c:showVal val="1"/>
          <c:showCatName val="0"/>
          <c:showSerName val="0"/>
          <c:showPercent val="0"/>
          <c:showBubbleSize val="0"/>
        </c:dLbls>
        <c:gapWidth val="219"/>
        <c:overlap val="-27"/>
        <c:axId val="1861759775"/>
        <c:axId val="1861781855"/>
      </c:barChart>
      <c:catAx>
        <c:axId val="186175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781855"/>
        <c:crosses val="autoZero"/>
        <c:auto val="1"/>
        <c:lblAlgn val="ctr"/>
        <c:lblOffset val="100"/>
        <c:noMultiLvlLbl val="0"/>
      </c:catAx>
      <c:valAx>
        <c:axId val="1861781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75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1270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[nirf_university_rankings.xlsx]Avg Score per state!PivotTable1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'Avg Score per state'!$B$3</c:f>
              <c:strCache>
                <c:ptCount val="1"/>
                <c:pt idx="0">
                  <c:v>Total</c:v>
                </c:pt>
              </c:strCache>
            </c:strRef>
          </c:tx>
          <c:spPr>
            <a:ln w="28575" cap="rnd">
              <a:solidFill>
                <a:schemeClr val="accent1"/>
              </a:solidFill>
              <a:round/>
            </a:ln>
            <a:effectLst/>
          </c:spPr>
          <c:marker>
            <c:symbol val="none"/>
          </c:marker>
          <c:cat>
            <c:strRef>
              <c:f>'Avg Score per state'!$A$4:$A$26</c:f>
              <c:strCache>
                <c:ptCount val="22"/>
                <c:pt idx="0">
                  <c:v>Andhra Pradesh</c:v>
                </c:pt>
                <c:pt idx="1">
                  <c:v>Assam</c:v>
                </c:pt>
                <c:pt idx="2">
                  <c:v>Chandigarh</c:v>
                </c:pt>
                <c:pt idx="3">
                  <c:v>Delhi</c:v>
                </c:pt>
                <c:pt idx="4">
                  <c:v>Gujarat</c:v>
                </c:pt>
                <c:pt idx="5">
                  <c:v>Haryana</c:v>
                </c:pt>
                <c:pt idx="6">
                  <c:v>Himachal Pradesh</c:v>
                </c:pt>
                <c:pt idx="7">
                  <c:v>Jammu and Kashmir</c:v>
                </c:pt>
                <c:pt idx="8">
                  <c:v>Jharkhand</c:v>
                </c:pt>
                <c:pt idx="9">
                  <c:v>Karnataka</c:v>
                </c:pt>
                <c:pt idx="10">
                  <c:v>Kerala</c:v>
                </c:pt>
                <c:pt idx="11">
                  <c:v>Maharashtra</c:v>
                </c:pt>
                <c:pt idx="12">
                  <c:v>Mizoram</c:v>
                </c:pt>
                <c:pt idx="13">
                  <c:v>Odisha</c:v>
                </c:pt>
                <c:pt idx="14">
                  <c:v>Pondicherry</c:v>
                </c:pt>
                <c:pt idx="15">
                  <c:v>Punjab</c:v>
                </c:pt>
                <c:pt idx="16">
                  <c:v>Rajasthan</c:v>
                </c:pt>
                <c:pt idx="17">
                  <c:v>Tamil Nadu</c:v>
                </c:pt>
                <c:pt idx="18">
                  <c:v>Telangana</c:v>
                </c:pt>
                <c:pt idx="19">
                  <c:v>Uttar Pradesh</c:v>
                </c:pt>
                <c:pt idx="20">
                  <c:v>Uttarakhand</c:v>
                </c:pt>
                <c:pt idx="21">
                  <c:v>West Bengal</c:v>
                </c:pt>
              </c:strCache>
            </c:strRef>
          </c:cat>
          <c:val>
            <c:numRef>
              <c:f>'Avg Score per state'!$B$4:$B$26</c:f>
              <c:numCache>
                <c:formatCode>General</c:formatCode>
                <c:ptCount val="22"/>
                <c:pt idx="0">
                  <c:v>52.161999999999999</c:v>
                </c:pt>
                <c:pt idx="1">
                  <c:v>51.935000000000002</c:v>
                </c:pt>
                <c:pt idx="2">
                  <c:v>55.11</c:v>
                </c:pt>
                <c:pt idx="3">
                  <c:v>57.878571428571426</c:v>
                </c:pt>
                <c:pt idx="4">
                  <c:v>48.04</c:v>
                </c:pt>
                <c:pt idx="5">
                  <c:v>47.564999999999998</c:v>
                </c:pt>
                <c:pt idx="6">
                  <c:v>48.82</c:v>
                </c:pt>
                <c:pt idx="7">
                  <c:v>53.379999999999995</c:v>
                </c:pt>
                <c:pt idx="8">
                  <c:v>47.31</c:v>
                </c:pt>
                <c:pt idx="9">
                  <c:v>54.215454545454556</c:v>
                </c:pt>
                <c:pt idx="10">
                  <c:v>54.06</c:v>
                </c:pt>
                <c:pt idx="11">
                  <c:v>54.207999999999991</c:v>
                </c:pt>
                <c:pt idx="12">
                  <c:v>48.03</c:v>
                </c:pt>
                <c:pt idx="13">
                  <c:v>62.57</c:v>
                </c:pt>
                <c:pt idx="14">
                  <c:v>49.14</c:v>
                </c:pt>
                <c:pt idx="15">
                  <c:v>52.057142857142857</c:v>
                </c:pt>
                <c:pt idx="16">
                  <c:v>52.97</c:v>
                </c:pt>
                <c:pt idx="17">
                  <c:v>54.052727272727275</c:v>
                </c:pt>
                <c:pt idx="18">
                  <c:v>55.063333333333333</c:v>
                </c:pt>
                <c:pt idx="19">
                  <c:v>53.754444444444438</c:v>
                </c:pt>
                <c:pt idx="20">
                  <c:v>50.890000000000008</c:v>
                </c:pt>
                <c:pt idx="21">
                  <c:v>63.245000000000005</c:v>
                </c:pt>
              </c:numCache>
            </c:numRef>
          </c:val>
          <c:smooth val="0"/>
          <c:extLst>
            <c:ext xmlns:c16="http://schemas.microsoft.com/office/drawing/2014/chart" uri="{C3380CC4-5D6E-409C-BE32-E72D297353CC}">
              <c16:uniqueId val="{00000000-1986-4C88-A6B7-7773BF4DE854}"/>
            </c:ext>
          </c:extLst>
        </c:ser>
        <c:dLbls>
          <c:showLegendKey val="0"/>
          <c:showVal val="0"/>
          <c:showCatName val="0"/>
          <c:showSerName val="0"/>
          <c:showPercent val="0"/>
          <c:showBubbleSize val="0"/>
        </c:dLbls>
        <c:smooth val="0"/>
        <c:axId val="146535247"/>
        <c:axId val="146532847"/>
      </c:lineChart>
      <c:catAx>
        <c:axId val="14653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32847"/>
        <c:crosses val="autoZero"/>
        <c:auto val="1"/>
        <c:lblAlgn val="ctr"/>
        <c:lblOffset val="100"/>
        <c:noMultiLvlLbl val="0"/>
      </c:catAx>
      <c:valAx>
        <c:axId val="146532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3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[nirf_university_rankings.xlsx]count of bands!PivotTable2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'count of bands'!$B$3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'count of bands'!$A$4:$A$8</c:f>
              <c:strCache>
                <c:ptCount val="4"/>
                <c:pt idx="0">
                  <c:v>Top 100</c:v>
                </c:pt>
                <c:pt idx="1">
                  <c:v>Top 25</c:v>
                </c:pt>
                <c:pt idx="2">
                  <c:v>Top 50</c:v>
                </c:pt>
                <c:pt idx="3">
                  <c:v>Top 75</c:v>
                </c:pt>
              </c:strCache>
            </c:strRef>
          </c:cat>
          <c:val>
            <c:numRef>
              <c:f>'count of bands'!$B$4:$B$8</c:f>
              <c:numCache>
                <c:formatCode>General</c:formatCode>
                <c:ptCount val="4"/>
                <c:pt idx="0">
                  <c:v>25</c:v>
                </c:pt>
                <c:pt idx="1">
                  <c:v>25</c:v>
                </c:pt>
                <c:pt idx="2">
                  <c:v>25</c:v>
                </c:pt>
                <c:pt idx="3">
                  <c:v>25</c:v>
                </c:pt>
              </c:numCache>
            </c:numRef>
          </c:val>
          <c:extLst>
            <c:ext xmlns:c16="http://schemas.microsoft.com/office/drawing/2014/chart" uri="{C3380CC4-5D6E-409C-BE32-E72D297353CC}">
              <c16:uniqueId val="{00000000-9982-493C-8380-8BF7475DDB0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[nirf_university_rankings.xlsx]Total Score per tier!PivotTable3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Score per tier'!$B$3</c:f>
              <c:strCache>
                <c:ptCount val="1"/>
                <c:pt idx="0">
                  <c:v>Total</c:v>
                </c:pt>
              </c:strCache>
            </c:strRef>
          </c:tx>
          <c:spPr>
            <a:solidFill>
              <a:schemeClr val="accent1"/>
            </a:solidFill>
            <a:ln>
              <a:noFill/>
            </a:ln>
            <a:effectLst/>
          </c:spPr>
          <c:invertIfNegative val="0"/>
          <c:cat>
            <c:strRef>
              <c:f>'Total Score per tier'!$A$4:$A$6</c:f>
              <c:strCache>
                <c:ptCount val="2"/>
                <c:pt idx="0">
                  <c:v>Tier 1</c:v>
                </c:pt>
                <c:pt idx="1">
                  <c:v>Tier 2</c:v>
                </c:pt>
              </c:strCache>
            </c:strRef>
          </c:cat>
          <c:val>
            <c:numRef>
              <c:f>'Total Score per tier'!$B$4:$B$6</c:f>
              <c:numCache>
                <c:formatCode>General</c:formatCode>
                <c:ptCount val="2"/>
                <c:pt idx="0">
                  <c:v>3433.1100000000006</c:v>
                </c:pt>
                <c:pt idx="1">
                  <c:v>1955.5000000000005</c:v>
                </c:pt>
              </c:numCache>
            </c:numRef>
          </c:val>
          <c:extLst>
            <c:ext xmlns:c16="http://schemas.microsoft.com/office/drawing/2014/chart" uri="{C3380CC4-5D6E-409C-BE32-E72D297353CC}">
              <c16:uniqueId val="{00000000-A367-4D0E-BFCA-E4DAB48D74FB}"/>
            </c:ext>
          </c:extLst>
        </c:ser>
        <c:dLbls>
          <c:showLegendKey val="0"/>
          <c:showVal val="0"/>
          <c:showCatName val="0"/>
          <c:showSerName val="0"/>
          <c:showPercent val="0"/>
          <c:showBubbleSize val="0"/>
        </c:dLbls>
        <c:gapWidth val="219"/>
        <c:overlap val="-27"/>
        <c:axId val="1861759775"/>
        <c:axId val="1861781855"/>
      </c:barChart>
      <c:catAx>
        <c:axId val="186175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781855"/>
        <c:crosses val="autoZero"/>
        <c:auto val="1"/>
        <c:lblAlgn val="ctr"/>
        <c:lblOffset val="100"/>
        <c:noMultiLvlLbl val="0"/>
      </c:catAx>
      <c:valAx>
        <c:axId val="1861781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759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15</xdr:row>
      <xdr:rowOff>0</xdr:rowOff>
    </xdr:to>
    <xdr:graphicFrame macro="">
      <xdr:nvGraphicFramePr>
        <xdr:cNvPr id="2" name="Chart 1">
          <a:extLst>
            <a:ext uri="{FF2B5EF4-FFF2-40B4-BE49-F238E27FC236}">
              <a16:creationId xmlns:a16="http://schemas.microsoft.com/office/drawing/2014/main" id="{A966E7E5-24BC-4123-BE66-94886C2722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510540</xdr:colOff>
      <xdr:row>0</xdr:row>
      <xdr:rowOff>0</xdr:rowOff>
    </xdr:from>
    <xdr:to>
      <xdr:col>15</xdr:col>
      <xdr:colOff>205740</xdr:colOff>
      <xdr:row>15</xdr:row>
      <xdr:rowOff>0</xdr:rowOff>
    </xdr:to>
    <xdr:graphicFrame macro="">
      <xdr:nvGraphicFramePr>
        <xdr:cNvPr id="3" name="Chart 2">
          <a:extLst>
            <a:ext uri="{FF2B5EF4-FFF2-40B4-BE49-F238E27FC236}">
              <a16:creationId xmlns:a16="http://schemas.microsoft.com/office/drawing/2014/main" id="{1BD66DC9-8AAD-4D49-BF8C-DD478E619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0</xdr:rowOff>
    </xdr:from>
    <xdr:to>
      <xdr:col>7</xdr:col>
      <xdr:colOff>304800</xdr:colOff>
      <xdr:row>31</xdr:row>
      <xdr:rowOff>0</xdr:rowOff>
    </xdr:to>
    <xdr:graphicFrame macro="">
      <xdr:nvGraphicFramePr>
        <xdr:cNvPr id="4" name="Chart 3">
          <a:extLst>
            <a:ext uri="{FF2B5EF4-FFF2-40B4-BE49-F238E27FC236}">
              <a16:creationId xmlns:a16="http://schemas.microsoft.com/office/drawing/2014/main" id="{1C12EDA9-7C42-4043-9A5E-8E699170B7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243840</xdr:colOff>
      <xdr:row>15</xdr:row>
      <xdr:rowOff>175260</xdr:rowOff>
    </xdr:from>
    <xdr:to>
      <xdr:col>14</xdr:col>
      <xdr:colOff>284640</xdr:colOff>
      <xdr:row>30</xdr:row>
      <xdr:rowOff>13335</xdr:rowOff>
    </xdr:to>
    <mc:AlternateContent xmlns:mc="http://schemas.openxmlformats.org/markup-compatibility/2006">
      <mc:Choice xmlns:a14="http://schemas.microsoft.com/office/drawing/2010/main" Requires="a14">
        <xdr:graphicFrame macro="">
          <xdr:nvGraphicFramePr>
            <xdr:cNvPr id="5" name="state">
              <a:extLst>
                <a:ext uri="{FF2B5EF4-FFF2-40B4-BE49-F238E27FC236}">
                  <a16:creationId xmlns:a16="http://schemas.microsoft.com/office/drawing/2014/main" id="{53C86EA1-F82E-061A-E5BF-E56D44074AF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7559040" y="2918460"/>
              <a:ext cx="12600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83820</xdr:colOff>
      <xdr:row>15</xdr:row>
      <xdr:rowOff>175260</xdr:rowOff>
    </xdr:from>
    <xdr:to>
      <xdr:col>12</xdr:col>
      <xdr:colOff>124620</xdr:colOff>
      <xdr:row>30</xdr:row>
      <xdr:rowOff>13335</xdr:rowOff>
    </xdr:to>
    <mc:AlternateContent xmlns:mc="http://schemas.openxmlformats.org/markup-compatibility/2006">
      <mc:Choice xmlns:a14="http://schemas.microsoft.com/office/drawing/2010/main" Requires="a14">
        <xdr:graphicFrame macro="">
          <xdr:nvGraphicFramePr>
            <xdr:cNvPr id="6" name="band">
              <a:extLst>
                <a:ext uri="{FF2B5EF4-FFF2-40B4-BE49-F238E27FC236}">
                  <a16:creationId xmlns:a16="http://schemas.microsoft.com/office/drawing/2014/main" id="{33BC8057-DF07-3BE1-303E-B5F545EF2324}"/>
                </a:ext>
              </a:extLst>
            </xdr:cNvPr>
            <xdr:cNvGraphicFramePr/>
          </xdr:nvGraphicFramePr>
          <xdr:xfrm>
            <a:off x="0" y="0"/>
            <a:ext cx="0" cy="0"/>
          </xdr:xfrm>
          <a:graphic>
            <a:graphicData uri="http://schemas.microsoft.com/office/drawing/2010/slicer">
              <sle:slicer xmlns:sle="http://schemas.microsoft.com/office/drawing/2010/slicer" name="band"/>
            </a:graphicData>
          </a:graphic>
        </xdr:graphicFrame>
      </mc:Choice>
      <mc:Fallback>
        <xdr:sp macro="" textlink="">
          <xdr:nvSpPr>
            <xdr:cNvPr id="0" name=""/>
            <xdr:cNvSpPr>
              <a:spLocks noTextEdit="1"/>
            </xdr:cNvSpPr>
          </xdr:nvSpPr>
          <xdr:spPr>
            <a:xfrm>
              <a:off x="6179820" y="2918460"/>
              <a:ext cx="12600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510540</xdr:colOff>
      <xdr:row>16</xdr:row>
      <xdr:rowOff>7620</xdr:rowOff>
    </xdr:from>
    <xdr:to>
      <xdr:col>9</xdr:col>
      <xdr:colOff>551340</xdr:colOff>
      <xdr:row>30</xdr:row>
      <xdr:rowOff>28575</xdr:rowOff>
    </xdr:to>
    <mc:AlternateContent xmlns:mc="http://schemas.openxmlformats.org/markup-compatibility/2006">
      <mc:Choice xmlns:a14="http://schemas.microsoft.com/office/drawing/2010/main" Requires="a14">
        <xdr:graphicFrame macro="">
          <xdr:nvGraphicFramePr>
            <xdr:cNvPr id="7" name="tier">
              <a:extLst>
                <a:ext uri="{FF2B5EF4-FFF2-40B4-BE49-F238E27FC236}">
                  <a16:creationId xmlns:a16="http://schemas.microsoft.com/office/drawing/2014/main" id="{87ACC490-E539-3422-5DD6-0B4F5CFC30CC}"/>
                </a:ext>
              </a:extLst>
            </xdr:cNvPr>
            <xdr:cNvGraphicFramePr/>
          </xdr:nvGraphicFramePr>
          <xdr:xfrm>
            <a:off x="0" y="0"/>
            <a:ext cx="0" cy="0"/>
          </xdr:xfrm>
          <a:graphic>
            <a:graphicData uri="http://schemas.microsoft.com/office/drawing/2010/slicer">
              <sle:slicer xmlns:sle="http://schemas.microsoft.com/office/drawing/2010/slicer" name="tier"/>
            </a:graphicData>
          </a:graphic>
        </xdr:graphicFrame>
      </mc:Choice>
      <mc:Fallback>
        <xdr:sp macro="" textlink="">
          <xdr:nvSpPr>
            <xdr:cNvPr id="0" name=""/>
            <xdr:cNvSpPr>
              <a:spLocks noTextEdit="1"/>
            </xdr:cNvSpPr>
          </xdr:nvSpPr>
          <xdr:spPr>
            <a:xfrm>
              <a:off x="4777740" y="2933700"/>
              <a:ext cx="12600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64770</xdr:colOff>
      <xdr:row>5</xdr:row>
      <xdr:rowOff>83820</xdr:rowOff>
    </xdr:from>
    <xdr:to>
      <xdr:col>11</xdr:col>
      <xdr:colOff>369570</xdr:colOff>
      <xdr:row>20</xdr:row>
      <xdr:rowOff>83820</xdr:rowOff>
    </xdr:to>
    <xdr:graphicFrame macro="">
      <xdr:nvGraphicFramePr>
        <xdr:cNvPr id="2" name="Chart 1">
          <a:extLst>
            <a:ext uri="{FF2B5EF4-FFF2-40B4-BE49-F238E27FC236}">
              <a16:creationId xmlns:a16="http://schemas.microsoft.com/office/drawing/2014/main" id="{C80387F6-3025-DE0B-6C87-3B54BB26B4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179070</xdr:colOff>
      <xdr:row>5</xdr:row>
      <xdr:rowOff>83820</xdr:rowOff>
    </xdr:from>
    <xdr:to>
      <xdr:col>11</xdr:col>
      <xdr:colOff>483870</xdr:colOff>
      <xdr:row>20</xdr:row>
      <xdr:rowOff>83820</xdr:rowOff>
    </xdr:to>
    <xdr:graphicFrame macro="">
      <xdr:nvGraphicFramePr>
        <xdr:cNvPr id="2" name="Chart 1">
          <a:extLst>
            <a:ext uri="{FF2B5EF4-FFF2-40B4-BE49-F238E27FC236}">
              <a16:creationId xmlns:a16="http://schemas.microsoft.com/office/drawing/2014/main" id="{E928DFD4-3CF6-AAD3-2A2D-42CAFC3416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590550</xdr:colOff>
      <xdr:row>5</xdr:row>
      <xdr:rowOff>83820</xdr:rowOff>
    </xdr:from>
    <xdr:to>
      <xdr:col>12</xdr:col>
      <xdr:colOff>285750</xdr:colOff>
      <xdr:row>20</xdr:row>
      <xdr:rowOff>83820</xdr:rowOff>
    </xdr:to>
    <xdr:graphicFrame macro="">
      <xdr:nvGraphicFramePr>
        <xdr:cNvPr id="2" name="Chart 1">
          <a:extLst>
            <a:ext uri="{FF2B5EF4-FFF2-40B4-BE49-F238E27FC236}">
              <a16:creationId xmlns:a16="http://schemas.microsoft.com/office/drawing/2014/main" id="{A9D78727-1985-F104-AA50-8A28C076F9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872.526278703706" createdVersion="8" refreshedVersion="8" minRefreshableVersion="3" recordCount="100" xr:uid="{8EE2FD1E-E01C-4979-8D09-E087B3C2359D}">
  <cacheSource type="worksheet">
    <worksheetSource ref="A1:I101" sheet="nirf_university_rankings"/>
  </cacheSource>
  <cacheFields count="9">
    <cacheField name="Institute_id" numFmtId="0">
      <sharedItems/>
    </cacheField>
    <cacheField name="name" numFmtId="0">
      <sharedItems/>
    </cacheField>
    <cacheField name="city" numFmtId="0">
      <sharedItems/>
    </cacheField>
    <cacheField name="state" numFmtId="0">
      <sharedItems count="22">
        <s v="Karnataka"/>
        <s v="Delhi"/>
        <s v="Uttar Pradesh"/>
        <s v="Tamil Nadu"/>
        <s v="West Bengal"/>
        <s v="Odisha"/>
        <s v="Maharashtra"/>
        <s v="Telangana"/>
        <s v="Rajasthan"/>
        <s v="Punjab"/>
        <s v="Kerala"/>
        <s v="Andhra Pradesh"/>
        <s v="Chandigarh"/>
        <s v="Assam"/>
        <s v="Jammu and Kashmir"/>
        <s v="Uttarakhand"/>
        <s v="Pondicherry"/>
        <s v="Himachal Pradesh"/>
        <s v="Haryana"/>
        <s v="Gujarat"/>
        <s v="Mizoram"/>
        <s v="Jharkhand"/>
      </sharedItems>
    </cacheField>
    <cacheField name="Score" numFmtId="0">
      <sharedItems containsSemiMixedTypes="0" containsString="0" containsNumber="1" minValue="45.51" maxValue="83.29"/>
    </cacheField>
    <cacheField name="ranking" numFmtId="0">
      <sharedItems containsSemiMixedTypes="0" containsString="0" containsNumber="1" containsInteger="1" minValue="1" maxValue="100"/>
    </cacheField>
    <cacheField name="band" numFmtId="0">
      <sharedItems count="4">
        <s v="Top 25"/>
        <s v="Top 50"/>
        <s v="Top 75"/>
        <s v="Top 100"/>
      </sharedItems>
    </cacheField>
    <cacheField name="tier" numFmtId="0">
      <sharedItems count="2">
        <s v="Tier 1"/>
        <s v="Tier 2"/>
      </sharedItems>
    </cacheField>
    <cacheField name="location" numFmtId="0">
      <sharedItems/>
    </cacheField>
  </cacheFields>
  <extLst>
    <ext xmlns:x14="http://schemas.microsoft.com/office/spreadsheetml/2009/9/main" uri="{725AE2AE-9491-48be-B2B4-4EB974FC3084}">
      <x14:pivotCacheDefinition pivotCacheId="11499299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IR-O-U-0220"/>
    <s v="Indian Institute Of Science, Bengalurumore Details | |"/>
    <s v="Bengaluru"/>
    <x v="0"/>
    <n v="83.29"/>
    <n v="1"/>
    <x v="0"/>
    <x v="0"/>
    <s v="Bengaluru,Karnataka"/>
  </r>
  <r>
    <s v="IR-O-U-0109"/>
    <s v="Jawaharlal Nehru Universitymore Details | |"/>
    <s v="New Delhi"/>
    <x v="1"/>
    <n v="69.8"/>
    <n v="2"/>
    <x v="0"/>
    <x v="0"/>
    <s v="New Delhi,Delhi"/>
  </r>
  <r>
    <s v="IR-O-U-0108"/>
    <s v="Jamia Millia Islamiamore Details | |"/>
    <s v="New Delhi"/>
    <x v="1"/>
    <n v="68.11"/>
    <n v="3"/>
    <x v="0"/>
    <x v="0"/>
    <s v="New Delhi,Delhi"/>
  </r>
  <r>
    <s v="IR-O-U-0234"/>
    <s v="Manipal Academy Of Higher Education, Manipalmore Details | |"/>
    <s v="Manipal"/>
    <x v="0"/>
    <n v="67.180000000000007"/>
    <n v="4"/>
    <x v="0"/>
    <x v="0"/>
    <s v="Manipal,Karnataka"/>
  </r>
  <r>
    <s v="IR-O-U-0500"/>
    <s v="Banaras Hindu Universitymore Details | |"/>
    <s v="Varanasi"/>
    <x v="2"/>
    <n v="66.05"/>
    <n v="5"/>
    <x v="0"/>
    <x v="0"/>
    <s v="Varanasi,Uttar Pradesh"/>
  </r>
  <r>
    <s v="IR-O-U-0120"/>
    <s v="University Of Delhimore Details | |"/>
    <s v="Delhi"/>
    <x v="1"/>
    <n v="65.900000000000006"/>
    <n v="6"/>
    <x v="0"/>
    <x v="0"/>
    <s v="Delhi,Delhi"/>
  </r>
  <r>
    <s v="IR-O-U-0436"/>
    <s v="Amrita Vishwa Vidyapeethammore Details | |"/>
    <s v="Coimbatore"/>
    <x v="3"/>
    <n v="65.73"/>
    <n v="7"/>
    <x v="0"/>
    <x v="0"/>
    <s v="Coimbatore,Tamil Nadu"/>
  </r>
  <r>
    <s v="IR-O-U-0496"/>
    <s v="Aligarh Muslim Universitymore Details | |"/>
    <s v="Aligarh"/>
    <x v="2"/>
    <n v="65.569999999999993"/>
    <n v="8"/>
    <x v="0"/>
    <x v="0"/>
    <s v="Aligarh,Uttar Pradesh"/>
  </r>
  <r>
    <s v="IR-O-U-0575"/>
    <s v="Jadavpur Universitymore Details | |"/>
    <s v="Kolkata"/>
    <x v="4"/>
    <n v="65.39"/>
    <n v="9"/>
    <x v="0"/>
    <x v="0"/>
    <s v="Kolkata,West Bengal"/>
  </r>
  <r>
    <s v="IR-O-U-0490"/>
    <s v="Vellore Institute Of Technologymore Details | |"/>
    <s v="Vellore"/>
    <x v="3"/>
    <n v="64.790000000000006"/>
    <n v="10"/>
    <x v="0"/>
    <x v="0"/>
    <s v="Vellore,Tamil Nadu"/>
  </r>
  <r>
    <s v="IR-O-I-1441"/>
    <s v="Saveetha Institute Of Medical And Technical Sciencesmore Details | |"/>
    <s v="Chennai"/>
    <x v="3"/>
    <n v="64.62"/>
    <n v="11"/>
    <x v="0"/>
    <x v="0"/>
    <s v="Chennai,Tamil Nadu"/>
  </r>
  <r>
    <s v="IR-O-U-0473"/>
    <s v="S.R.M. Institute Of Science And Technologymore Details | |"/>
    <s v="Chennai"/>
    <x v="3"/>
    <n v="64.56"/>
    <n v="12"/>
    <x v="0"/>
    <x v="0"/>
    <s v="Chennai,Tamil Nadu"/>
  </r>
  <r>
    <s v="IR-O-U-0439"/>
    <s v="Anna Universitymore Details | |"/>
    <s v="Chennai"/>
    <x v="3"/>
    <n v="63.85"/>
    <n v="13"/>
    <x v="0"/>
    <x v="0"/>
    <s v="Chennai,Tamil Nadu"/>
  </r>
  <r>
    <s v="IR-O-U-0363"/>
    <s v="Siksha `O` Anusandhanmore Details | |"/>
    <s v="Bhubaneswar"/>
    <x v="5"/>
    <n v="62.61"/>
    <n v="14"/>
    <x v="0"/>
    <x v="0"/>
    <s v="Bhubaneswar,Odisha"/>
  </r>
  <r>
    <s v="IR-O-U-0356"/>
    <s v="Kalinga Institute Of Industrial Technologymore Details | |"/>
    <s v="Bhubaneswar"/>
    <x v="5"/>
    <n v="62.53"/>
    <n v="15"/>
    <x v="0"/>
    <x v="0"/>
    <s v="Bhubaneswar,Odisha"/>
  </r>
  <r>
    <s v="IR-O-U-0304"/>
    <s v="Homi Bhabha National Institutemore Details | |"/>
    <s v="Mumbai"/>
    <x v="6"/>
    <n v="62.31"/>
    <n v="16"/>
    <x v="0"/>
    <x v="0"/>
    <s v="Mumbai,Maharashtra"/>
  </r>
  <r>
    <s v="IR-O-U-0042"/>
    <s v="University Of Hyderabadmore Details | |"/>
    <s v="Hyderabad"/>
    <x v="7"/>
    <n v="62.18"/>
    <n v="17"/>
    <x v="0"/>
    <x v="0"/>
    <s v="Hyderabad,Telangana"/>
  </r>
  <r>
    <s v="IR-O-U-0570"/>
    <s v="Calcutta Universitymore Details | |"/>
    <s v="Kolkata"/>
    <x v="4"/>
    <n v="61.1"/>
    <n v="18"/>
    <x v="0"/>
    <x v="0"/>
    <s v="Kolkata,West Bengal"/>
  </r>
  <r>
    <s v="IR-O-U-0391"/>
    <s v="Birla Institute Of Technology And Science, Pilanimore Details | |"/>
    <s v="Pilani"/>
    <x v="8"/>
    <n v="60.03"/>
    <n v="19"/>
    <x v="0"/>
    <x v="0"/>
    <s v="Pilani,Rajasthan"/>
  </r>
  <r>
    <s v="IR-O-U-0747"/>
    <s v="Chandigarh Universitymore Details | |"/>
    <s v="Mohali"/>
    <x v="9"/>
    <n v="59.96"/>
    <n v="20"/>
    <x v="0"/>
    <x v="0"/>
    <s v="Mohali,Punjab"/>
  </r>
  <r>
    <s v="IR-O-U-0260"/>
    <s v="Kerala Universitymore Details | |"/>
    <s v="Thiruvananthapuram"/>
    <x v="10"/>
    <n v="58.48"/>
    <n v="21"/>
    <x v="0"/>
    <x v="0"/>
    <s v="Thiruvananthapuram,Kerala"/>
  </r>
  <r>
    <s v="IR-O-U-0020"/>
    <s v="Koneru Lakshmaiah Education Foundation University (K L College Of Engineering)More Details | |"/>
    <s v="Vaddeswaram"/>
    <x v="11"/>
    <n v="57.98"/>
    <n v="22"/>
    <x v="0"/>
    <x v="0"/>
    <s v="Vaddeswaram,Andhra Pradesh"/>
  </r>
  <r>
    <s v="IR-O-U-0323"/>
    <s v="Savitribai Phule Pune Universitymore Details | |"/>
    <s v="Pune"/>
    <x v="6"/>
    <n v="57.96"/>
    <n v="23"/>
    <x v="0"/>
    <x v="0"/>
    <s v="Pune,Maharashtra"/>
  </r>
  <r>
    <s v="IR-O-U-0222"/>
    <s v="Jss Academy Of Higher Education And Researchmore Details | |"/>
    <s v="Mysuru"/>
    <x v="0"/>
    <n v="57.74"/>
    <n v="24"/>
    <x v="0"/>
    <x v="0"/>
    <s v="Mysuru,Karnataka"/>
  </r>
  <r>
    <s v="IR-O-U-0006"/>
    <s v="Andhra Universitymore Details | |"/>
    <s v="Visakhapatnam"/>
    <x v="11"/>
    <n v="57.67"/>
    <n v="25"/>
    <x v="0"/>
    <x v="0"/>
    <s v="Visakhapatnam,Andhra Pradesh"/>
  </r>
  <r>
    <s v="IR-O-U-0447"/>
    <s v="Bharathiar Universitymore Details | |"/>
    <s v="Coimbatore"/>
    <x v="3"/>
    <n v="57.26"/>
    <n v="26"/>
    <x v="1"/>
    <x v="0"/>
    <s v="Coimbatore,Tamil Nadu"/>
  </r>
  <r>
    <s v="IR-O-U-0379"/>
    <s v="Lovely Professional Universitymore Details | |"/>
    <s v="Phagwara"/>
    <x v="9"/>
    <n v="56.92"/>
    <n v="27"/>
    <x v="1"/>
    <x v="0"/>
    <s v="Phagwara,Punjab"/>
  </r>
  <r>
    <s v="IR-O-U-0476"/>
    <s v="Shanmugha Arts Science Technology And Research Academymore Details | |"/>
    <s v="Thanjavur"/>
    <x v="3"/>
    <n v="56.81"/>
    <n v="28"/>
    <x v="1"/>
    <x v="0"/>
    <s v="Thanjavur,Tamil Nadu"/>
  </r>
  <r>
    <s v="IR-O-I-1480"/>
    <s v="Thapar Institute Of Engineering And Technology (Deemed-To-Be-University)More Details | |"/>
    <s v="Patiala"/>
    <x v="9"/>
    <n v="56.72"/>
    <n v="29"/>
    <x v="1"/>
    <x v="0"/>
    <s v="Patiala,Punjab"/>
  </r>
  <r>
    <s v="IR-O-U-0458"/>
    <s v="Kalasalingam Academy Of Research And Educationmore Details | |"/>
    <s v="Srivilliputhur"/>
    <x v="3"/>
    <n v="56.71"/>
    <n v="30"/>
    <x v="1"/>
    <x v="0"/>
    <s v="Srivilliputhur,Tamil Nadu"/>
  </r>
  <r>
    <s v="IR-O-U-0329"/>
    <s v="Symbiosis Internationalmore Details | |"/>
    <s v="Pune"/>
    <x v="6"/>
    <n v="56.41"/>
    <n v="31"/>
    <x v="1"/>
    <x v="0"/>
    <s v="Pune,Maharashtra"/>
  </r>
  <r>
    <s v="IR-O-U-0497"/>
    <s v="Amity Universitymore Details | |"/>
    <s v="Gautam Budh Nagar"/>
    <x v="2"/>
    <n v="56.14"/>
    <n v="32"/>
    <x v="1"/>
    <x v="0"/>
    <s v="Gautam Budh Nagar,Uttar Pradesh"/>
  </r>
  <r>
    <s v="IR-O-U-0498"/>
    <s v="Babasaheb Bhimrao Ambedkar Universitymore Details | |"/>
    <s v="Lucknow"/>
    <x v="2"/>
    <n v="56.03"/>
    <n v="33"/>
    <x v="1"/>
    <x v="0"/>
    <s v="Lucknow,Uttar Pradesh"/>
  </r>
  <r>
    <s v="IR-O-U-0253"/>
    <s v="Cochin University Of Science And Technologymore Details | |"/>
    <s v="Cochin"/>
    <x v="10"/>
    <n v="55.95"/>
    <n v="34"/>
    <x v="1"/>
    <x v="0"/>
    <s v="Cochin,Kerala"/>
  </r>
  <r>
    <s v="IR-O-U-0308"/>
    <s v="Institute Of Chemical Technologymore Details | |"/>
    <s v="Mumbai"/>
    <x v="6"/>
    <n v="55.67"/>
    <n v="35"/>
    <x v="1"/>
    <x v="0"/>
    <s v="Mumbai,Maharashtra"/>
  </r>
  <r>
    <s v="IR-O-U-0448"/>
    <s v="Bharathidasan Universitymore Details | |"/>
    <s v="Tiruchirappalli"/>
    <x v="3"/>
    <n v="55.6"/>
    <n v="36"/>
    <x v="1"/>
    <x v="0"/>
    <s v="Tiruchirappalli,Tamil Nadu"/>
  </r>
  <r>
    <s v="IR-O-U-0262"/>
    <s v="Mahatma Gandhi Universitymore Details | |"/>
    <s v="Kottayam"/>
    <x v="10"/>
    <n v="55.18"/>
    <n v="37"/>
    <x v="1"/>
    <x v="0"/>
    <s v="Kottayam,Kerala"/>
  </r>
  <r>
    <s v="IR-O-U-0078"/>
    <s v="Panjab Universitymore Details | |"/>
    <s v="Chandigarh"/>
    <x v="12"/>
    <n v="55.11"/>
    <n v="38"/>
    <x v="1"/>
    <x v="0"/>
    <s v="Chandigarh,Chandigarh"/>
  </r>
  <r>
    <s v="IR-O-I-1357"/>
    <s v="University Of Madrasmore Details | |"/>
    <s v="Chennai"/>
    <x v="3"/>
    <n v="55.03"/>
    <n v="39"/>
    <x v="1"/>
    <x v="0"/>
    <s v="Chennai,Tamil Nadu"/>
  </r>
  <r>
    <s v="IR-O-U-0052"/>
    <s v="Gauhati Universitymore Details | |"/>
    <s v="Guwahati"/>
    <x v="13"/>
    <n v="54.86"/>
    <n v="40"/>
    <x v="1"/>
    <x v="0"/>
    <s v="Guwahati,Assam"/>
  </r>
  <r>
    <s v="IR-O-U-0107"/>
    <s v="Jamia Hamdardmore Details | |"/>
    <s v="New Delhi"/>
    <x v="1"/>
    <n v="54.86"/>
    <n v="40"/>
    <x v="1"/>
    <x v="0"/>
    <s v="New Delhi,Delhi"/>
  </r>
  <r>
    <s v="IR-O-U-0295"/>
    <s v="Datta Meghe Institute Of Higher Education And Researchmore Details | |"/>
    <s v="Wardha"/>
    <x v="6"/>
    <n v="54.71"/>
    <n v="42"/>
    <x v="1"/>
    <x v="0"/>
    <s v="Wardha,Maharashtra"/>
  </r>
  <r>
    <s v="IR-O-U-0027"/>
    <s v="Osmania Universitymore Details | |"/>
    <s v="Hyderabad"/>
    <x v="7"/>
    <n v="54.69"/>
    <n v="43"/>
    <x v="1"/>
    <x v="0"/>
    <s v="Hyderabad,Telangana"/>
  </r>
  <r>
    <s v="IR-O-I-1110"/>
    <s v="Dr. D. Y. Patil Vidyapeethmore Details | |"/>
    <s v="Pune"/>
    <x v="6"/>
    <n v="54.59"/>
    <n v="44"/>
    <x v="1"/>
    <x v="0"/>
    <s v="Pune,Maharashtra"/>
  </r>
  <r>
    <s v="IR-O-U-0196"/>
    <s v="University Of Kashmirmore Details | |"/>
    <s v="Srinagar"/>
    <x v="14"/>
    <n v="54.43"/>
    <n v="45"/>
    <x v="1"/>
    <x v="0"/>
    <s v="Srinagar,Jammu and Kashmir"/>
  </r>
  <r>
    <s v="IR-O-U-0564"/>
    <s v="Upesmore Details | |"/>
    <s v="Dehradun"/>
    <x v="15"/>
    <n v="54.02"/>
    <n v="46"/>
    <x v="1"/>
    <x v="0"/>
    <s v="Dehradun,Uttarakhand"/>
  </r>
  <r>
    <s v="IR-O-U-0435"/>
    <s v="Alagappa Universitymore Details | |"/>
    <s v="Karaikudi"/>
    <x v="3"/>
    <n v="53.84"/>
    <n v="47"/>
    <x v="1"/>
    <x v="0"/>
    <s v="Karaikudi,Tamil Nadu"/>
  </r>
  <r>
    <s v="IR-O-U-0098"/>
    <s v="Delhi Technological Universitymore Details | |"/>
    <s v="New Delhi"/>
    <x v="1"/>
    <n v="53.31"/>
    <n v="48"/>
    <x v="1"/>
    <x v="0"/>
    <s v="New Delhi,Delhi"/>
  </r>
  <r>
    <s v="IR-O-N-10"/>
    <s v="Svkm`S Narsee Monjee Institute Of Management Studies More Details | |"/>
    <s v="Mumbai"/>
    <x v="6"/>
    <n v="52.43"/>
    <n v="49"/>
    <x v="1"/>
    <x v="0"/>
    <s v="Mumbai,Maharashtra"/>
  </r>
  <r>
    <s v="IR-O-U-0195"/>
    <s v="University Of Jammumore Details | |"/>
    <s v="Jammu"/>
    <x v="14"/>
    <n v="52.33"/>
    <n v="50"/>
    <x v="1"/>
    <x v="0"/>
    <s v="Jammu,Jammu and Kashmir"/>
  </r>
  <r>
    <s v="IR-O-U-0474"/>
    <s v="Sathyabama Institute Of Science And Technologymore Details | |"/>
    <s v="Chennai"/>
    <x v="3"/>
    <n v="52.16"/>
    <n v="51"/>
    <x v="2"/>
    <x v="0"/>
    <s v="Chennai,Tamil Nadu"/>
  </r>
  <r>
    <s v="IR-O-U-0555"/>
    <s v="Graphic Era Universitymore Details | |"/>
    <s v="Dehradun"/>
    <x v="15"/>
    <n v="52.01"/>
    <n v="52"/>
    <x v="2"/>
    <x v="0"/>
    <s v="Dehradun,Uttarakhand"/>
  </r>
  <r>
    <s v="IR-O-U-0523"/>
    <s v="King George`S Medical Universitymore Details | |"/>
    <s v="Lucknow"/>
    <x v="2"/>
    <n v="51.1"/>
    <n v="53"/>
    <x v="2"/>
    <x v="0"/>
    <s v="Lucknow,Uttar Pradesh"/>
  </r>
  <r>
    <s v="IR-O-U-0235"/>
    <s v="Mysore Universitymore Details | |"/>
    <s v="Mysuru"/>
    <x v="0"/>
    <n v="51.04"/>
    <n v="54"/>
    <x v="2"/>
    <x v="0"/>
    <s v="Mysuru,Karnataka"/>
  </r>
  <r>
    <s v="IR-O-I-1486"/>
    <s v="Sri Ramachandra Institute Of Higher Education And Researchmore Details | |"/>
    <s v="Chennai"/>
    <x v="3"/>
    <n v="50.86"/>
    <n v="55"/>
    <x v="2"/>
    <x v="0"/>
    <s v="Chennai,Tamil Nadu"/>
  </r>
  <r>
    <s v="IR-O-U-0470"/>
    <s v="Periyar Universitymore Details | |"/>
    <s v="Salem"/>
    <x v="3"/>
    <n v="50.36"/>
    <n v="56"/>
    <x v="2"/>
    <x v="0"/>
    <s v="Salem,Tamil Nadu"/>
  </r>
  <r>
    <s v="IR-O-U-0381"/>
    <s v="Punjab Agricultural Universitymore Details | |"/>
    <s v="Ludhiana"/>
    <x v="9"/>
    <n v="50.32"/>
    <n v="57"/>
    <x v="2"/>
    <x v="0"/>
    <s v="Ludhiana,Punjab"/>
  </r>
  <r>
    <s v="IR-O-U-0331"/>
    <s v="Tata Institute Of Social Sciencesmore Details | |"/>
    <s v="Mumbai"/>
    <x v="6"/>
    <n v="50.2"/>
    <n v="58"/>
    <x v="2"/>
    <x v="0"/>
    <s v="Mumbai,Maharashtra"/>
  </r>
  <r>
    <s v="IR-O-U-0003"/>
    <s v="Acharya Nagarjuna Universitymore Details | |"/>
    <s v="Guntur"/>
    <x v="11"/>
    <n v="50.06"/>
    <n v="59"/>
    <x v="2"/>
    <x v="0"/>
    <s v="Guntur,Andhra Pradesh"/>
  </r>
  <r>
    <s v="IR-O-U-0217"/>
    <s v="Christ Universitymore Details | |"/>
    <s v="Bengaluru"/>
    <x v="0"/>
    <n v="49.87"/>
    <n v="60"/>
    <x v="2"/>
    <x v="1"/>
    <s v="Bengaluru,Karnataka"/>
  </r>
  <r>
    <s v="IR-O-U-0318"/>
    <s v="Mumbai Universitymore Details | |"/>
    <s v="Mumbai"/>
    <x v="6"/>
    <n v="49.86"/>
    <n v="61"/>
    <x v="2"/>
    <x v="1"/>
    <s v="Mumbai,Maharashtra"/>
  </r>
  <r>
    <s v="IR-O-U-0642"/>
    <s v="Shiv Nadar Universitymore Details | |"/>
    <s v="Gautam Buddha Nagar"/>
    <x v="2"/>
    <n v="49.8"/>
    <n v="62"/>
    <x v="2"/>
    <x v="1"/>
    <s v="Gautam Buddha Nagar,Uttar Pradesh"/>
  </r>
  <r>
    <s v="IR-O-U-0463"/>
    <s v="Madurai Kamaraj Universitymore Details | |"/>
    <s v="Madurai"/>
    <x v="3"/>
    <n v="49.72"/>
    <n v="63"/>
    <x v="2"/>
    <x v="1"/>
    <s v="Madurai,Tamil Nadu"/>
  </r>
  <r>
    <s v="IR-O-U-0749"/>
    <s v="Manipal University, Jaipurmore Details | |"/>
    <s v="Jaipur"/>
    <x v="8"/>
    <n v="49.5"/>
    <n v="64"/>
    <x v="2"/>
    <x v="1"/>
    <s v="Jaipur,Rajasthan"/>
  </r>
  <r>
    <s v="IR-O-U-0223"/>
    <s v="Jain University, Bangaloremore Details | |"/>
    <s v="Bengaluru"/>
    <x v="0"/>
    <n v="49.47"/>
    <n v="65"/>
    <x v="2"/>
    <x v="1"/>
    <s v="Bengaluru,Karnataka"/>
  </r>
  <r>
    <s v="IR-O-U-0239"/>
    <s v="Nittemore Details | |"/>
    <s v="Mangaluru"/>
    <x v="0"/>
    <n v="49.45"/>
    <n v="66"/>
    <x v="2"/>
    <x v="1"/>
    <s v="Mangaluru,Karnataka"/>
  </r>
  <r>
    <s v="IR-O-U-0389"/>
    <s v="Banasthali Vidyapithmore Details | |"/>
    <s v="Banasthali"/>
    <x v="8"/>
    <n v="49.38"/>
    <n v="67"/>
    <x v="2"/>
    <x v="1"/>
    <s v="Banasthali,Rajasthan"/>
  </r>
  <r>
    <s v="IR-O-U-0370"/>
    <s v="Sri Balaji Vidyapeeth Mahatma Gandhi Medical Collegemore Details | |"/>
    <s v="Puducherry"/>
    <x v="16"/>
    <n v="49.14"/>
    <n v="68"/>
    <x v="2"/>
    <x v="1"/>
    <s v="Puducherry,Pondicherry"/>
  </r>
  <r>
    <s v="IR-O-U-0056"/>
    <s v="Tezpur Universitymore Details | |"/>
    <s v="Tezpur"/>
    <x v="13"/>
    <n v="49.01"/>
    <n v="69"/>
    <x v="2"/>
    <x v="1"/>
    <s v="Tezpur,Assam"/>
  </r>
  <r>
    <s v="IR-O-U-0190"/>
    <s v="Shoolini University Of Biotechnology And Management Sciencesmore Details | |"/>
    <s v="Solan"/>
    <x v="17"/>
    <n v="48.82"/>
    <n v="70"/>
    <x v="2"/>
    <x v="1"/>
    <s v="Solan,Himachal Pradesh"/>
  </r>
  <r>
    <s v="IR-O-U-0168"/>
    <s v="Maharishi Markandeshwar (Deemed To Be University)More Details | |"/>
    <s v="Ambala"/>
    <x v="18"/>
    <n v="48.67"/>
    <n v="71"/>
    <x v="2"/>
    <x v="1"/>
    <s v="Ambala,Haryana"/>
  </r>
  <r>
    <s v="IR-O-U-0043"/>
    <s v="Vignan'S Foundation For Science, Technology And Researchmore Details | |"/>
    <s v="Guntur"/>
    <x v="11"/>
    <n v="48.45"/>
    <n v="72"/>
    <x v="2"/>
    <x v="1"/>
    <s v="Guntur,Andhra Pradesh"/>
  </r>
  <r>
    <s v="IR-O-U-0446"/>
    <s v="Bharath Institute Of Higher Education And Researchmore Details | |"/>
    <s v="Chennai"/>
    <x v="3"/>
    <n v="48.36"/>
    <n v="73"/>
    <x v="2"/>
    <x v="1"/>
    <s v="Chennai,Tamil Nadu"/>
  </r>
  <r>
    <s v="IR-O-U-0014"/>
    <s v="International Institute Of Information Technology Hyderabadmore Details | |"/>
    <s v="Hyderabad"/>
    <x v="7"/>
    <n v="48.32"/>
    <n v="74"/>
    <x v="2"/>
    <x v="1"/>
    <s v="Hyderabad,Telangana"/>
  </r>
  <r>
    <s v="IR-O-U-0249"/>
    <s v="Visvesvaraya Technological Universitymore Details | |"/>
    <s v="Belgaum"/>
    <x v="0"/>
    <n v="48.1"/>
    <n v="75"/>
    <x v="2"/>
    <x v="1"/>
    <s v="Belgaum,Karnataka"/>
  </r>
  <r>
    <s v="IR-O-U-0136"/>
    <s v="Gujarat Universitymore Details | |"/>
    <s v="Ahmedabad"/>
    <x v="19"/>
    <n v="48.04"/>
    <n v="76"/>
    <x v="3"/>
    <x v="1"/>
    <s v="Ahmedabad,Gujarat"/>
  </r>
  <r>
    <s v="IR-O-U-0345"/>
    <s v="Mizoram Universitymore Details | |"/>
    <s v="Aizawl"/>
    <x v="20"/>
    <n v="48.03"/>
    <n v="77"/>
    <x v="3"/>
    <x v="1"/>
    <s v="Aizawl,Mizoram"/>
  </r>
  <r>
    <s v="IR-O-I-1361"/>
    <s v="Bharati Vidyapeethmore Details | |"/>
    <s v="Pune"/>
    <x v="6"/>
    <n v="47.94"/>
    <n v="78"/>
    <x v="3"/>
    <x v="1"/>
    <s v="Pune,Maharashtra"/>
  </r>
  <r>
    <s v="IR-O-U-0451"/>
    <s v="Chettinad Academy Of Research And Educationmore Details | |"/>
    <s v="Kelambakkam, Chengalpattu District"/>
    <x v="3"/>
    <n v="47.8"/>
    <n v="79"/>
    <x v="3"/>
    <x v="1"/>
    <s v="Kelambakkam, Chengalpattu District,Tamil Nadu"/>
  </r>
  <r>
    <s v="IR-O-U-0099"/>
    <s v="Guru Gobind Singh Indraprastha Universitymore Details | |"/>
    <s v="New Delhi"/>
    <x v="1"/>
    <n v="47.66"/>
    <n v="80"/>
    <x v="3"/>
    <x v="1"/>
    <s v="New Delhi,Delhi"/>
  </r>
  <r>
    <s v="IR-O-U-0215"/>
    <s v="Bangalore Universitymore Details | |"/>
    <s v="Bengaluru"/>
    <x v="0"/>
    <n v="47.45"/>
    <n v="81"/>
    <x v="3"/>
    <x v="1"/>
    <s v="Bengaluru,Karnataka"/>
  </r>
  <r>
    <s v="IR-O-U-0202"/>
    <s v="Birla Institute Of Technologymore Details | |"/>
    <s v="Ranchi"/>
    <x v="21"/>
    <n v="47.31"/>
    <n v="82"/>
    <x v="3"/>
    <x v="1"/>
    <s v="Ranchi,Jharkhand"/>
  </r>
  <r>
    <s v="IR-O-U-0372"/>
    <s v="Central University Of Punjabmore Details | |"/>
    <s v="Bathinda"/>
    <x v="9"/>
    <n v="47.11"/>
    <n v="83"/>
    <x v="3"/>
    <x v="1"/>
    <s v="Bathinda,Punjab"/>
  </r>
  <r>
    <s v="IR-O-U-0485"/>
    <s v="Tamil Nadu Agricultural Universitymore Details | |"/>
    <s v="Coimbatore"/>
    <x v="3"/>
    <n v="47.03"/>
    <n v="84"/>
    <x v="3"/>
    <x v="1"/>
    <s v="Coimbatore,Tamil Nadu"/>
  </r>
  <r>
    <s v="IR-O-U-0384"/>
    <s v="Sant Longowal Institute Of Engineering And Technologymore Details | |"/>
    <s v="Longowal"/>
    <x v="9"/>
    <n v="46.9"/>
    <n v="85"/>
    <x v="3"/>
    <x v="1"/>
    <s v="Longowal,Punjab"/>
  </r>
  <r>
    <s v="IR-O-U-0541"/>
    <s v="Sharda Universitymore Details | |"/>
    <s v="Greater Noida"/>
    <x v="2"/>
    <n v="46.88"/>
    <n v="86"/>
    <x v="3"/>
    <x v="1"/>
    <s v="Greater Noida,Uttar Pradesh"/>
  </r>
  <r>
    <s v="IR-O-U-0037"/>
    <s v="Sri Venkateswara Universitymore Details | |"/>
    <s v="Tirupati"/>
    <x v="11"/>
    <n v="46.65"/>
    <n v="87"/>
    <x v="3"/>
    <x v="1"/>
    <s v="Tirupati,Andhra Pradesh"/>
  </r>
  <r>
    <s v="IR-O-U-0554"/>
    <s v="G.B. Pant Universtiy Of Agriculture And Technologymore Details | |"/>
    <s v="Pantnagar"/>
    <x v="15"/>
    <n v="46.64"/>
    <n v="88"/>
    <x v="3"/>
    <x v="1"/>
    <s v="Pantnagar,Uttarakhand"/>
  </r>
  <r>
    <s v="IR-O-U-0251"/>
    <s v="Calicut Universitymore Details | |"/>
    <s v="Malappuram"/>
    <x v="10"/>
    <n v="46.63"/>
    <n v="89"/>
    <x v="3"/>
    <x v="1"/>
    <s v="Malappuram,Kerala"/>
  </r>
  <r>
    <s v="IR-O-U-0248"/>
    <s v="University Of Agricultural Sciencesmore Details | |"/>
    <s v="Bengaluru"/>
    <x v="0"/>
    <n v="46.47"/>
    <n v="90"/>
    <x v="3"/>
    <x v="1"/>
    <s v="Bengaluru,Karnataka"/>
  </r>
  <r>
    <s v="IR-O-U-0373"/>
    <s v="Chitkara Universitymore Details | |"/>
    <s v="Rajpura"/>
    <x v="9"/>
    <n v="46.47"/>
    <n v="90"/>
    <x v="3"/>
    <x v="1"/>
    <s v="Rajpura,Punjab"/>
  </r>
  <r>
    <s v="IR-O-U-0169"/>
    <s v="Manav Rachna International Institute Of Research And Studiesmore Details | |"/>
    <s v="Faridabad"/>
    <x v="18"/>
    <n v="46.46"/>
    <n v="92"/>
    <x v="3"/>
    <x v="1"/>
    <s v="Faridabad,Haryana"/>
  </r>
  <r>
    <s v="IR-O-U-0464"/>
    <s v="Manonmaniam Sundaranar University, Tirunelvelimore Details | |"/>
    <s v="Tirunelveli"/>
    <x v="3"/>
    <n v="46.34"/>
    <n v="93"/>
    <x v="3"/>
    <x v="1"/>
    <s v="Tirunelveli,Tamil Nadu"/>
  </r>
  <r>
    <s v="IR-O-U-0739"/>
    <s v="Madan Mohan Malaviya University Of Technologymore Details | |"/>
    <s v="Gorakhpur"/>
    <x v="2"/>
    <n v="46.33"/>
    <n v="94"/>
    <x v="3"/>
    <x v="1"/>
    <s v="Gorakhpur,Uttar Pradesh"/>
  </r>
  <r>
    <s v="IR-O-U-0250"/>
    <s v="Yenepoya Universitymore Details | |"/>
    <s v="Mangaluru"/>
    <x v="0"/>
    <n v="46.31"/>
    <n v="95"/>
    <x v="3"/>
    <x v="1"/>
    <s v="Mangaluru,Karnataka"/>
  </r>
  <r>
    <s v="IR-O-U-0489"/>
    <s v="Vel Tech Rangarajan Dr. Sagunthala R &amp; D Institute Of Science And Technologymore Details | |"/>
    <s v="Chennai"/>
    <x v="3"/>
    <n v="46.22"/>
    <n v="96"/>
    <x v="3"/>
    <x v="1"/>
    <s v="Chennai,Tamil Nadu"/>
  </r>
  <r>
    <s v="IR-O-U-0524"/>
    <s v="University Of Lucknowmore Details | |"/>
    <s v="Lucknow"/>
    <x v="2"/>
    <n v="45.89"/>
    <n v="97"/>
    <x v="3"/>
    <x v="1"/>
    <s v="Lucknow,Uttar Pradesh"/>
  </r>
  <r>
    <s v="IR-O-U-0444"/>
    <s v="Avinashilingam Institute For Home Science And Higher Education For Womenmore Details | |"/>
    <s v="Coimbatore"/>
    <x v="3"/>
    <n v="45.78"/>
    <n v="98"/>
    <x v="3"/>
    <x v="1"/>
    <s v="Coimbatore,Tamil Nadu"/>
  </r>
  <r>
    <s v="IR-O-U-0449"/>
    <s v="Central University Of Tamil Nadumore Details | |"/>
    <s v="Tiruvarur"/>
    <x v="3"/>
    <n v="45.73"/>
    <n v="99"/>
    <x v="3"/>
    <x v="1"/>
    <s v="Tiruvarur,Tamil Nadu"/>
  </r>
  <r>
    <s v="IR-O-C-6379"/>
    <s v="Netaji Subhas University Of Technology (Nsut)More Details | |"/>
    <s v="Delhi"/>
    <x v="1"/>
    <n v="45.51"/>
    <n v="100"/>
    <x v="3"/>
    <x v="1"/>
    <s v="Delhi,Delhi"/>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AD0C43-6A56-49FB-AC2B-E4756D8366B4}"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26" firstHeaderRow="1" firstDataRow="1" firstDataCol="1"/>
  <pivotFields count="9">
    <pivotField showAll="0"/>
    <pivotField showAll="0"/>
    <pivotField showAll="0"/>
    <pivotField axis="axisRow" showAll="0">
      <items count="23">
        <item x="11"/>
        <item x="13"/>
        <item x="12"/>
        <item x="1"/>
        <item x="19"/>
        <item x="18"/>
        <item x="17"/>
        <item x="14"/>
        <item x="21"/>
        <item x="0"/>
        <item x="10"/>
        <item x="6"/>
        <item x="20"/>
        <item x="5"/>
        <item x="16"/>
        <item x="9"/>
        <item x="8"/>
        <item x="3"/>
        <item x="7"/>
        <item x="2"/>
        <item x="15"/>
        <item x="4"/>
        <item t="default"/>
      </items>
    </pivotField>
    <pivotField dataField="1" showAll="0"/>
    <pivotField showAll="0"/>
    <pivotField showAll="0">
      <items count="5">
        <item x="3"/>
        <item x="0"/>
        <item x="1"/>
        <item x="2"/>
        <item t="default"/>
      </items>
    </pivotField>
    <pivotField showAll="0">
      <items count="3">
        <item x="0"/>
        <item x="1"/>
        <item t="default"/>
      </items>
    </pivotField>
    <pivotField showAll="0"/>
  </pivotFields>
  <rowFields count="1">
    <field x="3"/>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Average of Score" fld="4" subtotal="average" baseField="3"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D59218-7943-4F13-93B0-DBB8B75909A1}"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9">
    <pivotField dataField="1" showAll="0"/>
    <pivotField showAll="0"/>
    <pivotField showAll="0"/>
    <pivotField showAll="0">
      <items count="23">
        <item x="11"/>
        <item x="13"/>
        <item x="12"/>
        <item x="1"/>
        <item x="19"/>
        <item x="18"/>
        <item x="17"/>
        <item x="14"/>
        <item x="21"/>
        <item x="0"/>
        <item x="10"/>
        <item x="6"/>
        <item x="20"/>
        <item x="5"/>
        <item x="16"/>
        <item x="9"/>
        <item x="8"/>
        <item x="3"/>
        <item x="7"/>
        <item x="2"/>
        <item x="15"/>
        <item x="4"/>
        <item t="default"/>
      </items>
    </pivotField>
    <pivotField showAll="0"/>
    <pivotField showAll="0"/>
    <pivotField axis="axisRow" showAll="0">
      <items count="5">
        <item x="3"/>
        <item x="0"/>
        <item x="1"/>
        <item x="2"/>
        <item t="default"/>
      </items>
    </pivotField>
    <pivotField showAll="0">
      <items count="3">
        <item x="0"/>
        <item x="1"/>
        <item t="default"/>
      </items>
    </pivotField>
    <pivotField showAll="0"/>
  </pivotFields>
  <rowFields count="1">
    <field x="6"/>
  </rowFields>
  <rowItems count="5">
    <i>
      <x/>
    </i>
    <i>
      <x v="1"/>
    </i>
    <i>
      <x v="2"/>
    </i>
    <i>
      <x v="3"/>
    </i>
    <i t="grand">
      <x/>
    </i>
  </rowItems>
  <colItems count="1">
    <i/>
  </colItems>
  <dataFields count="1">
    <dataField name="Count of Institute_id" fld="0" subtotal="count" baseField="0" baseItem="0"/>
  </dataField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6" count="1" selected="0">
            <x v="0"/>
          </reference>
        </references>
      </pivotArea>
    </chartFormat>
    <chartFormat chart="3" format="8">
      <pivotArea type="data" outline="0" fieldPosition="0">
        <references count="2">
          <reference field="4294967294" count="1" selected="0">
            <x v="0"/>
          </reference>
          <reference field="6" count="1" selected="0">
            <x v="1"/>
          </reference>
        </references>
      </pivotArea>
    </chartFormat>
    <chartFormat chart="3" format="9">
      <pivotArea type="data" outline="0" fieldPosition="0">
        <references count="2">
          <reference field="4294967294" count="1" selected="0">
            <x v="0"/>
          </reference>
          <reference field="6" count="1" selected="0">
            <x v="2"/>
          </reference>
        </references>
      </pivotArea>
    </chartFormat>
    <chartFormat chart="3"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CD45E0-28B0-465C-ADAB-6529FB6C1617}"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9">
    <pivotField showAll="0"/>
    <pivotField showAll="0"/>
    <pivotField showAll="0"/>
    <pivotField showAll="0">
      <items count="23">
        <item x="11"/>
        <item x="13"/>
        <item x="12"/>
        <item x="1"/>
        <item x="19"/>
        <item x="18"/>
        <item x="17"/>
        <item x="14"/>
        <item x="21"/>
        <item x="0"/>
        <item x="10"/>
        <item x="6"/>
        <item x="20"/>
        <item x="5"/>
        <item x="16"/>
        <item x="9"/>
        <item x="8"/>
        <item x="3"/>
        <item x="7"/>
        <item x="2"/>
        <item x="15"/>
        <item x="4"/>
        <item t="default"/>
      </items>
    </pivotField>
    <pivotField dataField="1" showAll="0"/>
    <pivotField showAll="0"/>
    <pivotField showAll="0">
      <items count="5">
        <item x="3"/>
        <item x="0"/>
        <item x="1"/>
        <item x="2"/>
        <item t="default"/>
      </items>
    </pivotField>
    <pivotField axis="axisRow" showAll="0">
      <items count="3">
        <item x="0"/>
        <item x="1"/>
        <item t="default"/>
      </items>
    </pivotField>
    <pivotField showAll="0"/>
  </pivotFields>
  <rowFields count="1">
    <field x="7"/>
  </rowFields>
  <rowItems count="3">
    <i>
      <x/>
    </i>
    <i>
      <x v="1"/>
    </i>
    <i t="grand">
      <x/>
    </i>
  </rowItems>
  <colItems count="1">
    <i/>
  </colItems>
  <dataFields count="1">
    <dataField name="Sum of Score" fld="4"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327ADD3-B1BE-49C9-A7DF-8E15E9115624}" sourceName="state">
  <pivotTables>
    <pivotTable tabId="4" name="PivotTable2"/>
    <pivotTable tabId="3" name="PivotTable1"/>
    <pivotTable tabId="5" name="PivotTable3"/>
  </pivotTables>
  <data>
    <tabular pivotCacheId="1149929990">
      <items count="22">
        <i x="11" s="1"/>
        <i x="13" s="1"/>
        <i x="12" s="1"/>
        <i x="1" s="1"/>
        <i x="19" s="1"/>
        <i x="18" s="1"/>
        <i x="17" s="1"/>
        <i x="14" s="1"/>
        <i x="21" s="1"/>
        <i x="0" s="1"/>
        <i x="10" s="1"/>
        <i x="6" s="1"/>
        <i x="20" s="1"/>
        <i x="5" s="1"/>
        <i x="16" s="1"/>
        <i x="9" s="1"/>
        <i x="8" s="1"/>
        <i x="3" s="1"/>
        <i x="7" s="1"/>
        <i x="2" s="1"/>
        <i x="15"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nd" xr10:uid="{68BB9E4A-16B6-484D-90C2-36576F74ED35}" sourceName="band">
  <pivotTables>
    <pivotTable tabId="4" name="PivotTable2"/>
    <pivotTable tabId="3" name="PivotTable1"/>
    <pivotTable tabId="5" name="PivotTable3"/>
  </pivotTables>
  <data>
    <tabular pivotCacheId="1149929990">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er" xr10:uid="{344CDD4C-F302-4104-B081-1E1940DC3D60}" sourceName="tier">
  <pivotTables>
    <pivotTable tabId="4" name="PivotTable2"/>
    <pivotTable tabId="3" name="PivotTable1"/>
    <pivotTable tabId="5" name="PivotTable3"/>
  </pivotTables>
  <data>
    <tabular pivotCacheId="114992999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1C8BE58B-371E-490C-9652-326323A7605F}" cache="Slicer_state" caption="state" rowHeight="247650"/>
  <slicer name="band" xr10:uid="{E1C6ED77-6CD5-4425-B57A-CED7A8AF439E}" cache="Slicer_band" caption="band" rowHeight="247650"/>
  <slicer name="tier" xr10:uid="{E2BF746A-A358-4588-8C1A-BA438E75238B}" cache="Slicer_tier" caption="tier"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462BE-1555-4940-836D-3C7F2045520B}">
  <dimension ref="A1"/>
  <sheetViews>
    <sheetView showGridLines="0" showRowColHeaders="0" tabSelected="1" workbookViewId="0">
      <selection activeCell="S12" sqref="S12"/>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D3DCB-03FB-4312-AFAD-E17DF46BA1DB}">
  <dimension ref="A1:I101"/>
  <sheetViews>
    <sheetView workbookViewId="0">
      <selection activeCell="D11" sqref="D11"/>
    </sheetView>
  </sheetViews>
  <sheetFormatPr defaultRowHeight="14.4" x14ac:dyDescent="0.3"/>
  <cols>
    <col min="1" max="1" width="13.109375" customWidth="1"/>
    <col min="2" max="2" width="52.33203125" customWidth="1"/>
    <col min="3" max="3" width="11.44140625" customWidth="1"/>
    <col min="4" max="4" width="14" customWidth="1"/>
    <col min="5" max="5" width="12.77734375" customWidth="1"/>
    <col min="6" max="6" width="11.5546875" customWidth="1"/>
  </cols>
  <sheetData>
    <row r="1" spans="1:9" x14ac:dyDescent="0.3">
      <c r="A1" t="s">
        <v>0</v>
      </c>
      <c r="B1" t="s">
        <v>1</v>
      </c>
      <c r="C1" t="s">
        <v>2</v>
      </c>
      <c r="D1" t="s">
        <v>3</v>
      </c>
      <c r="E1" t="s">
        <v>4</v>
      </c>
      <c r="F1" t="s">
        <v>5</v>
      </c>
      <c r="G1" t="s">
        <v>290</v>
      </c>
      <c r="H1" t="s">
        <v>291</v>
      </c>
      <c r="I1" t="s">
        <v>292</v>
      </c>
    </row>
    <row r="2" spans="1:9" x14ac:dyDescent="0.3">
      <c r="A2" t="s">
        <v>6</v>
      </c>
      <c r="B2" t="s">
        <v>190</v>
      </c>
      <c r="C2" t="s">
        <v>7</v>
      </c>
      <c r="D2" t="s">
        <v>8</v>
      </c>
      <c r="E2">
        <v>83.29</v>
      </c>
      <c r="F2">
        <v>1</v>
      </c>
      <c r="G2" t="str" cm="1">
        <f t="array" ref="G2">_xlfn.IFS(F2&lt;=25,"Top 25",F2&lt;=50,"Top 50",F2&lt;=75,"Top 75",F2&lt;=100,"Top 100")</f>
        <v>Top 25</v>
      </c>
      <c r="H2" t="str">
        <f>IF(E2&gt;50,"Tier 1","Tier 2")</f>
        <v>Tier 1</v>
      </c>
      <c r="I2" t="str">
        <f>C2 &amp; "," &amp;D2</f>
        <v>Bengaluru,Karnataka</v>
      </c>
    </row>
    <row r="3" spans="1:9" x14ac:dyDescent="0.3">
      <c r="A3" t="s">
        <v>9</v>
      </c>
      <c r="B3" t="s">
        <v>191</v>
      </c>
      <c r="C3" t="s">
        <v>10</v>
      </c>
      <c r="D3" t="s">
        <v>11</v>
      </c>
      <c r="E3">
        <v>69.8</v>
      </c>
      <c r="F3">
        <v>2</v>
      </c>
      <c r="G3" t="str" cm="1">
        <f t="array" ref="G3">_xlfn.IFS(F3&lt;=25,"Top 25",F3&lt;=50,"Top 50",F3&lt;=75,"Top 75",F3&lt;=100,"Top 100")</f>
        <v>Top 25</v>
      </c>
      <c r="H3" t="str">
        <f t="shared" ref="H3:H66" si="0">IF(E3&gt;50,"Tier 1","Tier 2")</f>
        <v>Tier 1</v>
      </c>
      <c r="I3" t="str">
        <f t="shared" ref="I3:I66" si="1">C3 &amp; "," &amp;D3</f>
        <v>New Delhi,Delhi</v>
      </c>
    </row>
    <row r="4" spans="1:9" x14ac:dyDescent="0.3">
      <c r="A4" t="s">
        <v>12</v>
      </c>
      <c r="B4" t="s">
        <v>192</v>
      </c>
      <c r="C4" t="s">
        <v>10</v>
      </c>
      <c r="D4" t="s">
        <v>11</v>
      </c>
      <c r="E4">
        <v>68.11</v>
      </c>
      <c r="F4">
        <v>3</v>
      </c>
      <c r="G4" t="str" cm="1">
        <f t="array" ref="G4">_xlfn.IFS(F4&lt;=25,"Top 25",F4&lt;=50,"Top 50",F4&lt;=75,"Top 75",F4&lt;=100,"Top 100")</f>
        <v>Top 25</v>
      </c>
      <c r="H4" t="str">
        <f t="shared" si="0"/>
        <v>Tier 1</v>
      </c>
      <c r="I4" t="str">
        <f t="shared" si="1"/>
        <v>New Delhi,Delhi</v>
      </c>
    </row>
    <row r="5" spans="1:9" x14ac:dyDescent="0.3">
      <c r="A5" t="s">
        <v>13</v>
      </c>
      <c r="B5" t="s">
        <v>193</v>
      </c>
      <c r="C5" t="s">
        <v>14</v>
      </c>
      <c r="D5" t="s">
        <v>8</v>
      </c>
      <c r="E5">
        <v>67.180000000000007</v>
      </c>
      <c r="F5">
        <v>4</v>
      </c>
      <c r="G5" t="str" cm="1">
        <f t="array" ref="G5">_xlfn.IFS(F5&lt;=25,"Top 25",F5&lt;=50,"Top 50",F5&lt;=75,"Top 75",F5&lt;=100,"Top 100")</f>
        <v>Top 25</v>
      </c>
      <c r="H5" t="str">
        <f t="shared" si="0"/>
        <v>Tier 1</v>
      </c>
      <c r="I5" t="str">
        <f t="shared" si="1"/>
        <v>Manipal,Karnataka</v>
      </c>
    </row>
    <row r="6" spans="1:9" x14ac:dyDescent="0.3">
      <c r="A6" t="s">
        <v>15</v>
      </c>
      <c r="B6" t="s">
        <v>194</v>
      </c>
      <c r="C6" t="s">
        <v>16</v>
      </c>
      <c r="D6" t="s">
        <v>17</v>
      </c>
      <c r="E6">
        <v>66.05</v>
      </c>
      <c r="F6">
        <v>5</v>
      </c>
      <c r="G6" t="str" cm="1">
        <f t="array" ref="G6">_xlfn.IFS(F6&lt;=25,"Top 25",F6&lt;=50,"Top 50",F6&lt;=75,"Top 75",F6&lt;=100,"Top 100")</f>
        <v>Top 25</v>
      </c>
      <c r="H6" t="str">
        <f t="shared" si="0"/>
        <v>Tier 1</v>
      </c>
      <c r="I6" t="str">
        <f t="shared" si="1"/>
        <v>Varanasi,Uttar Pradesh</v>
      </c>
    </row>
    <row r="7" spans="1:9" x14ac:dyDescent="0.3">
      <c r="A7" t="s">
        <v>18</v>
      </c>
      <c r="B7" t="s">
        <v>195</v>
      </c>
      <c r="C7" t="s">
        <v>11</v>
      </c>
      <c r="D7" t="s">
        <v>11</v>
      </c>
      <c r="E7">
        <v>65.900000000000006</v>
      </c>
      <c r="F7">
        <v>6</v>
      </c>
      <c r="G7" t="str" cm="1">
        <f t="array" ref="G7">_xlfn.IFS(F7&lt;=25,"Top 25",F7&lt;=50,"Top 50",F7&lt;=75,"Top 75",F7&lt;=100,"Top 100")</f>
        <v>Top 25</v>
      </c>
      <c r="H7" t="str">
        <f t="shared" si="0"/>
        <v>Tier 1</v>
      </c>
      <c r="I7" t="str">
        <f t="shared" si="1"/>
        <v>Delhi,Delhi</v>
      </c>
    </row>
    <row r="8" spans="1:9" x14ac:dyDescent="0.3">
      <c r="A8" t="s">
        <v>19</v>
      </c>
      <c r="B8" t="s">
        <v>196</v>
      </c>
      <c r="C8" t="s">
        <v>20</v>
      </c>
      <c r="D8" t="s">
        <v>21</v>
      </c>
      <c r="E8">
        <v>65.73</v>
      </c>
      <c r="F8">
        <v>7</v>
      </c>
      <c r="G8" t="str" cm="1">
        <f t="array" ref="G8">_xlfn.IFS(F8&lt;=25,"Top 25",F8&lt;=50,"Top 50",F8&lt;=75,"Top 75",F8&lt;=100,"Top 100")</f>
        <v>Top 25</v>
      </c>
      <c r="H8" t="str">
        <f t="shared" si="0"/>
        <v>Tier 1</v>
      </c>
      <c r="I8" t="str">
        <f t="shared" si="1"/>
        <v>Coimbatore,Tamil Nadu</v>
      </c>
    </row>
    <row r="9" spans="1:9" x14ac:dyDescent="0.3">
      <c r="A9" t="s">
        <v>22</v>
      </c>
      <c r="B9" t="s">
        <v>197</v>
      </c>
      <c r="C9" t="s">
        <v>23</v>
      </c>
      <c r="D9" t="s">
        <v>17</v>
      </c>
      <c r="E9">
        <v>65.569999999999993</v>
      </c>
      <c r="F9">
        <v>8</v>
      </c>
      <c r="G9" t="str" cm="1">
        <f t="array" ref="G9">_xlfn.IFS(F9&lt;=25,"Top 25",F9&lt;=50,"Top 50",F9&lt;=75,"Top 75",F9&lt;=100,"Top 100")</f>
        <v>Top 25</v>
      </c>
      <c r="H9" t="str">
        <f t="shared" si="0"/>
        <v>Tier 1</v>
      </c>
      <c r="I9" t="str">
        <f t="shared" si="1"/>
        <v>Aligarh,Uttar Pradesh</v>
      </c>
    </row>
    <row r="10" spans="1:9" x14ac:dyDescent="0.3">
      <c r="A10" t="s">
        <v>24</v>
      </c>
      <c r="B10" t="s">
        <v>198</v>
      </c>
      <c r="C10" t="s">
        <v>25</v>
      </c>
      <c r="D10" t="s">
        <v>26</v>
      </c>
      <c r="E10">
        <v>65.39</v>
      </c>
      <c r="F10">
        <v>9</v>
      </c>
      <c r="G10" t="str" cm="1">
        <f t="array" ref="G10">_xlfn.IFS(F10&lt;=25,"Top 25",F10&lt;=50,"Top 50",F10&lt;=75,"Top 75",F10&lt;=100,"Top 100")</f>
        <v>Top 25</v>
      </c>
      <c r="H10" t="str">
        <f t="shared" si="0"/>
        <v>Tier 1</v>
      </c>
      <c r="I10" t="str">
        <f t="shared" si="1"/>
        <v>Kolkata,West Bengal</v>
      </c>
    </row>
    <row r="11" spans="1:9" x14ac:dyDescent="0.3">
      <c r="A11" t="s">
        <v>27</v>
      </c>
      <c r="B11" t="s">
        <v>199</v>
      </c>
      <c r="C11" t="s">
        <v>28</v>
      </c>
      <c r="D11" t="s">
        <v>21</v>
      </c>
      <c r="E11">
        <v>64.790000000000006</v>
      </c>
      <c r="F11">
        <v>10</v>
      </c>
      <c r="G11" t="str" cm="1">
        <f t="array" ref="G11">_xlfn.IFS(F11&lt;=25,"Top 25",F11&lt;=50,"Top 50",F11&lt;=75,"Top 75",F11&lt;=100,"Top 100")</f>
        <v>Top 25</v>
      </c>
      <c r="H11" t="str">
        <f t="shared" si="0"/>
        <v>Tier 1</v>
      </c>
      <c r="I11" t="str">
        <f t="shared" si="1"/>
        <v>Vellore,Tamil Nadu</v>
      </c>
    </row>
    <row r="12" spans="1:9" x14ac:dyDescent="0.3">
      <c r="A12" t="s">
        <v>29</v>
      </c>
      <c r="B12" t="s">
        <v>200</v>
      </c>
      <c r="C12" t="s">
        <v>30</v>
      </c>
      <c r="D12" t="s">
        <v>21</v>
      </c>
      <c r="E12">
        <v>64.62</v>
      </c>
      <c r="F12">
        <v>11</v>
      </c>
      <c r="G12" t="str" cm="1">
        <f t="array" ref="G12">_xlfn.IFS(F12&lt;=25,"Top 25",F12&lt;=50,"Top 50",F12&lt;=75,"Top 75",F12&lt;=100,"Top 100")</f>
        <v>Top 25</v>
      </c>
      <c r="H12" t="str">
        <f t="shared" si="0"/>
        <v>Tier 1</v>
      </c>
      <c r="I12" t="str">
        <f t="shared" si="1"/>
        <v>Chennai,Tamil Nadu</v>
      </c>
    </row>
    <row r="13" spans="1:9" x14ac:dyDescent="0.3">
      <c r="A13" t="s">
        <v>31</v>
      </c>
      <c r="B13" t="s">
        <v>201</v>
      </c>
      <c r="C13" t="s">
        <v>30</v>
      </c>
      <c r="D13" t="s">
        <v>21</v>
      </c>
      <c r="E13">
        <v>64.56</v>
      </c>
      <c r="F13">
        <v>12</v>
      </c>
      <c r="G13" t="str" cm="1">
        <f t="array" ref="G13">_xlfn.IFS(F13&lt;=25,"Top 25",F13&lt;=50,"Top 50",F13&lt;=75,"Top 75",F13&lt;=100,"Top 100")</f>
        <v>Top 25</v>
      </c>
      <c r="H13" t="str">
        <f t="shared" si="0"/>
        <v>Tier 1</v>
      </c>
      <c r="I13" t="str">
        <f t="shared" si="1"/>
        <v>Chennai,Tamil Nadu</v>
      </c>
    </row>
    <row r="14" spans="1:9" x14ac:dyDescent="0.3">
      <c r="A14" t="s">
        <v>32</v>
      </c>
      <c r="B14" t="s">
        <v>202</v>
      </c>
      <c r="C14" t="s">
        <v>30</v>
      </c>
      <c r="D14" t="s">
        <v>21</v>
      </c>
      <c r="E14">
        <v>63.85</v>
      </c>
      <c r="F14">
        <v>13</v>
      </c>
      <c r="G14" t="str" cm="1">
        <f t="array" ref="G14">_xlfn.IFS(F14&lt;=25,"Top 25",F14&lt;=50,"Top 50",F14&lt;=75,"Top 75",F14&lt;=100,"Top 100")</f>
        <v>Top 25</v>
      </c>
      <c r="H14" t="str">
        <f t="shared" si="0"/>
        <v>Tier 1</v>
      </c>
      <c r="I14" t="str">
        <f t="shared" si="1"/>
        <v>Chennai,Tamil Nadu</v>
      </c>
    </row>
    <row r="15" spans="1:9" x14ac:dyDescent="0.3">
      <c r="A15" t="s">
        <v>33</v>
      </c>
      <c r="B15" t="s">
        <v>203</v>
      </c>
      <c r="C15" t="s">
        <v>34</v>
      </c>
      <c r="D15" t="s">
        <v>35</v>
      </c>
      <c r="E15">
        <v>62.61</v>
      </c>
      <c r="F15">
        <v>14</v>
      </c>
      <c r="G15" t="str" cm="1">
        <f t="array" ref="G15">_xlfn.IFS(F15&lt;=25,"Top 25",F15&lt;=50,"Top 50",F15&lt;=75,"Top 75",F15&lt;=100,"Top 100")</f>
        <v>Top 25</v>
      </c>
      <c r="H15" t="str">
        <f t="shared" si="0"/>
        <v>Tier 1</v>
      </c>
      <c r="I15" t="str">
        <f t="shared" si="1"/>
        <v>Bhubaneswar,Odisha</v>
      </c>
    </row>
    <row r="16" spans="1:9" x14ac:dyDescent="0.3">
      <c r="A16" t="s">
        <v>36</v>
      </c>
      <c r="B16" t="s">
        <v>204</v>
      </c>
      <c r="C16" t="s">
        <v>34</v>
      </c>
      <c r="D16" t="s">
        <v>35</v>
      </c>
      <c r="E16">
        <v>62.53</v>
      </c>
      <c r="F16">
        <v>15</v>
      </c>
      <c r="G16" t="str" cm="1">
        <f t="array" ref="G16">_xlfn.IFS(F16&lt;=25,"Top 25",F16&lt;=50,"Top 50",F16&lt;=75,"Top 75",F16&lt;=100,"Top 100")</f>
        <v>Top 25</v>
      </c>
      <c r="H16" t="str">
        <f t="shared" si="0"/>
        <v>Tier 1</v>
      </c>
      <c r="I16" t="str">
        <f t="shared" si="1"/>
        <v>Bhubaneswar,Odisha</v>
      </c>
    </row>
    <row r="17" spans="1:9" x14ac:dyDescent="0.3">
      <c r="A17" t="s">
        <v>37</v>
      </c>
      <c r="B17" t="s">
        <v>205</v>
      </c>
      <c r="C17" t="s">
        <v>38</v>
      </c>
      <c r="D17" t="s">
        <v>39</v>
      </c>
      <c r="E17">
        <v>62.31</v>
      </c>
      <c r="F17">
        <v>16</v>
      </c>
      <c r="G17" t="str" cm="1">
        <f t="array" ref="G17">_xlfn.IFS(F17&lt;=25,"Top 25",F17&lt;=50,"Top 50",F17&lt;=75,"Top 75",F17&lt;=100,"Top 100")</f>
        <v>Top 25</v>
      </c>
      <c r="H17" t="str">
        <f t="shared" si="0"/>
        <v>Tier 1</v>
      </c>
      <c r="I17" t="str">
        <f t="shared" si="1"/>
        <v>Mumbai,Maharashtra</v>
      </c>
    </row>
    <row r="18" spans="1:9" x14ac:dyDescent="0.3">
      <c r="A18" t="s">
        <v>40</v>
      </c>
      <c r="B18" t="s">
        <v>206</v>
      </c>
      <c r="C18" t="s">
        <v>41</v>
      </c>
      <c r="D18" t="s">
        <v>42</v>
      </c>
      <c r="E18">
        <v>62.18</v>
      </c>
      <c r="F18">
        <v>17</v>
      </c>
      <c r="G18" t="str" cm="1">
        <f t="array" ref="G18">_xlfn.IFS(F18&lt;=25,"Top 25",F18&lt;=50,"Top 50",F18&lt;=75,"Top 75",F18&lt;=100,"Top 100")</f>
        <v>Top 25</v>
      </c>
      <c r="H18" t="str">
        <f t="shared" si="0"/>
        <v>Tier 1</v>
      </c>
      <c r="I18" t="str">
        <f t="shared" si="1"/>
        <v>Hyderabad,Telangana</v>
      </c>
    </row>
    <row r="19" spans="1:9" x14ac:dyDescent="0.3">
      <c r="A19" t="s">
        <v>43</v>
      </c>
      <c r="B19" t="s">
        <v>207</v>
      </c>
      <c r="C19" t="s">
        <v>25</v>
      </c>
      <c r="D19" t="s">
        <v>26</v>
      </c>
      <c r="E19">
        <v>61.1</v>
      </c>
      <c r="F19">
        <v>18</v>
      </c>
      <c r="G19" t="str" cm="1">
        <f t="array" ref="G19">_xlfn.IFS(F19&lt;=25,"Top 25",F19&lt;=50,"Top 50",F19&lt;=75,"Top 75",F19&lt;=100,"Top 100")</f>
        <v>Top 25</v>
      </c>
      <c r="H19" t="str">
        <f t="shared" si="0"/>
        <v>Tier 1</v>
      </c>
      <c r="I19" t="str">
        <f t="shared" si="1"/>
        <v>Kolkata,West Bengal</v>
      </c>
    </row>
    <row r="20" spans="1:9" x14ac:dyDescent="0.3">
      <c r="A20" t="s">
        <v>44</v>
      </c>
      <c r="B20" t="s">
        <v>208</v>
      </c>
      <c r="C20" t="s">
        <v>45</v>
      </c>
      <c r="D20" t="s">
        <v>46</v>
      </c>
      <c r="E20">
        <v>60.03</v>
      </c>
      <c r="F20">
        <v>19</v>
      </c>
      <c r="G20" t="str" cm="1">
        <f t="array" ref="G20">_xlfn.IFS(F20&lt;=25,"Top 25",F20&lt;=50,"Top 50",F20&lt;=75,"Top 75",F20&lt;=100,"Top 100")</f>
        <v>Top 25</v>
      </c>
      <c r="H20" t="str">
        <f t="shared" si="0"/>
        <v>Tier 1</v>
      </c>
      <c r="I20" t="str">
        <f t="shared" si="1"/>
        <v>Pilani,Rajasthan</v>
      </c>
    </row>
    <row r="21" spans="1:9" x14ac:dyDescent="0.3">
      <c r="A21" t="s">
        <v>47</v>
      </c>
      <c r="B21" t="s">
        <v>209</v>
      </c>
      <c r="C21" t="s">
        <v>48</v>
      </c>
      <c r="D21" t="s">
        <v>49</v>
      </c>
      <c r="E21">
        <v>59.96</v>
      </c>
      <c r="F21">
        <v>20</v>
      </c>
      <c r="G21" t="str" cm="1">
        <f t="array" ref="G21">_xlfn.IFS(F21&lt;=25,"Top 25",F21&lt;=50,"Top 50",F21&lt;=75,"Top 75",F21&lt;=100,"Top 100")</f>
        <v>Top 25</v>
      </c>
      <c r="H21" t="str">
        <f t="shared" si="0"/>
        <v>Tier 1</v>
      </c>
      <c r="I21" t="str">
        <f t="shared" si="1"/>
        <v>Mohali,Punjab</v>
      </c>
    </row>
    <row r="22" spans="1:9" x14ac:dyDescent="0.3">
      <c r="A22" t="s">
        <v>50</v>
      </c>
      <c r="B22" t="s">
        <v>210</v>
      </c>
      <c r="C22" t="s">
        <v>51</v>
      </c>
      <c r="D22" t="s">
        <v>52</v>
      </c>
      <c r="E22">
        <v>58.48</v>
      </c>
      <c r="F22">
        <v>21</v>
      </c>
      <c r="G22" t="str" cm="1">
        <f t="array" ref="G22">_xlfn.IFS(F22&lt;=25,"Top 25",F22&lt;=50,"Top 50",F22&lt;=75,"Top 75",F22&lt;=100,"Top 100")</f>
        <v>Top 25</v>
      </c>
      <c r="H22" t="str">
        <f t="shared" si="0"/>
        <v>Tier 1</v>
      </c>
      <c r="I22" t="str">
        <f t="shared" si="1"/>
        <v>Thiruvananthapuram,Kerala</v>
      </c>
    </row>
    <row r="23" spans="1:9" x14ac:dyDescent="0.3">
      <c r="A23" t="s">
        <v>53</v>
      </c>
      <c r="B23" t="s">
        <v>211</v>
      </c>
      <c r="C23" t="s">
        <v>54</v>
      </c>
      <c r="D23" t="s">
        <v>55</v>
      </c>
      <c r="E23">
        <v>57.98</v>
      </c>
      <c r="F23">
        <v>22</v>
      </c>
      <c r="G23" t="str" cm="1">
        <f t="array" ref="G23">_xlfn.IFS(F23&lt;=25,"Top 25",F23&lt;=50,"Top 50",F23&lt;=75,"Top 75",F23&lt;=100,"Top 100")</f>
        <v>Top 25</v>
      </c>
      <c r="H23" t="str">
        <f t="shared" si="0"/>
        <v>Tier 1</v>
      </c>
      <c r="I23" t="str">
        <f t="shared" si="1"/>
        <v>Vaddeswaram,Andhra Pradesh</v>
      </c>
    </row>
    <row r="24" spans="1:9" x14ac:dyDescent="0.3">
      <c r="A24" t="s">
        <v>56</v>
      </c>
      <c r="B24" t="s">
        <v>212</v>
      </c>
      <c r="C24" t="s">
        <v>57</v>
      </c>
      <c r="D24" t="s">
        <v>39</v>
      </c>
      <c r="E24">
        <v>57.96</v>
      </c>
      <c r="F24">
        <v>23</v>
      </c>
      <c r="G24" t="str" cm="1">
        <f t="array" ref="G24">_xlfn.IFS(F24&lt;=25,"Top 25",F24&lt;=50,"Top 50",F24&lt;=75,"Top 75",F24&lt;=100,"Top 100")</f>
        <v>Top 25</v>
      </c>
      <c r="H24" t="str">
        <f t="shared" si="0"/>
        <v>Tier 1</v>
      </c>
      <c r="I24" t="str">
        <f t="shared" si="1"/>
        <v>Pune,Maharashtra</v>
      </c>
    </row>
    <row r="25" spans="1:9" x14ac:dyDescent="0.3">
      <c r="A25" t="s">
        <v>58</v>
      </c>
      <c r="B25" t="s">
        <v>213</v>
      </c>
      <c r="C25" t="s">
        <v>59</v>
      </c>
      <c r="D25" t="s">
        <v>8</v>
      </c>
      <c r="E25">
        <v>57.74</v>
      </c>
      <c r="F25">
        <v>24</v>
      </c>
      <c r="G25" t="str" cm="1">
        <f t="array" ref="G25">_xlfn.IFS(F25&lt;=25,"Top 25",F25&lt;=50,"Top 50",F25&lt;=75,"Top 75",F25&lt;=100,"Top 100")</f>
        <v>Top 25</v>
      </c>
      <c r="H25" t="str">
        <f t="shared" si="0"/>
        <v>Tier 1</v>
      </c>
      <c r="I25" t="str">
        <f t="shared" si="1"/>
        <v>Mysuru,Karnataka</v>
      </c>
    </row>
    <row r="26" spans="1:9" x14ac:dyDescent="0.3">
      <c r="A26" t="s">
        <v>60</v>
      </c>
      <c r="B26" t="s">
        <v>214</v>
      </c>
      <c r="C26" t="s">
        <v>61</v>
      </c>
      <c r="D26" t="s">
        <v>55</v>
      </c>
      <c r="E26">
        <v>57.67</v>
      </c>
      <c r="F26">
        <v>25</v>
      </c>
      <c r="G26" t="str" cm="1">
        <f t="array" ref="G26">_xlfn.IFS(F26&lt;=25,"Top 25",F26&lt;=50,"Top 50",F26&lt;=75,"Top 75",F26&lt;=100,"Top 100")</f>
        <v>Top 25</v>
      </c>
      <c r="H26" t="str">
        <f t="shared" si="0"/>
        <v>Tier 1</v>
      </c>
      <c r="I26" t="str">
        <f t="shared" si="1"/>
        <v>Visakhapatnam,Andhra Pradesh</v>
      </c>
    </row>
    <row r="27" spans="1:9" x14ac:dyDescent="0.3">
      <c r="A27" t="s">
        <v>62</v>
      </c>
      <c r="B27" t="s">
        <v>215</v>
      </c>
      <c r="C27" t="s">
        <v>20</v>
      </c>
      <c r="D27" t="s">
        <v>21</v>
      </c>
      <c r="E27">
        <v>57.26</v>
      </c>
      <c r="F27">
        <v>26</v>
      </c>
      <c r="G27" t="str" cm="1">
        <f t="array" ref="G27">_xlfn.IFS(F27&lt;=25,"Top 25",F27&lt;=50,"Top 50",F27&lt;=75,"Top 75",F27&lt;=100,"Top 100")</f>
        <v>Top 50</v>
      </c>
      <c r="H27" t="str">
        <f t="shared" si="0"/>
        <v>Tier 1</v>
      </c>
      <c r="I27" t="str">
        <f t="shared" si="1"/>
        <v>Coimbatore,Tamil Nadu</v>
      </c>
    </row>
    <row r="28" spans="1:9" x14ac:dyDescent="0.3">
      <c r="A28" t="s">
        <v>63</v>
      </c>
      <c r="B28" t="s">
        <v>216</v>
      </c>
      <c r="C28" t="s">
        <v>64</v>
      </c>
      <c r="D28" t="s">
        <v>49</v>
      </c>
      <c r="E28">
        <v>56.92</v>
      </c>
      <c r="F28">
        <v>27</v>
      </c>
      <c r="G28" t="str" cm="1">
        <f t="array" ref="G28">_xlfn.IFS(F28&lt;=25,"Top 25",F28&lt;=50,"Top 50",F28&lt;=75,"Top 75",F28&lt;=100,"Top 100")</f>
        <v>Top 50</v>
      </c>
      <c r="H28" t="str">
        <f t="shared" si="0"/>
        <v>Tier 1</v>
      </c>
      <c r="I28" t="str">
        <f t="shared" si="1"/>
        <v>Phagwara,Punjab</v>
      </c>
    </row>
    <row r="29" spans="1:9" x14ac:dyDescent="0.3">
      <c r="A29" t="s">
        <v>65</v>
      </c>
      <c r="B29" t="s">
        <v>217</v>
      </c>
      <c r="C29" t="s">
        <v>66</v>
      </c>
      <c r="D29" t="s">
        <v>21</v>
      </c>
      <c r="E29">
        <v>56.81</v>
      </c>
      <c r="F29">
        <v>28</v>
      </c>
      <c r="G29" t="str" cm="1">
        <f t="array" ref="G29">_xlfn.IFS(F29&lt;=25,"Top 25",F29&lt;=50,"Top 50",F29&lt;=75,"Top 75",F29&lt;=100,"Top 100")</f>
        <v>Top 50</v>
      </c>
      <c r="H29" t="str">
        <f t="shared" si="0"/>
        <v>Tier 1</v>
      </c>
      <c r="I29" t="str">
        <f t="shared" si="1"/>
        <v>Thanjavur,Tamil Nadu</v>
      </c>
    </row>
    <row r="30" spans="1:9" x14ac:dyDescent="0.3">
      <c r="A30" t="s">
        <v>67</v>
      </c>
      <c r="B30" t="s">
        <v>218</v>
      </c>
      <c r="C30" t="s">
        <v>68</v>
      </c>
      <c r="D30" t="s">
        <v>49</v>
      </c>
      <c r="E30">
        <v>56.72</v>
      </c>
      <c r="F30">
        <v>29</v>
      </c>
      <c r="G30" t="str" cm="1">
        <f t="array" ref="G30">_xlfn.IFS(F30&lt;=25,"Top 25",F30&lt;=50,"Top 50",F30&lt;=75,"Top 75",F30&lt;=100,"Top 100")</f>
        <v>Top 50</v>
      </c>
      <c r="H30" t="str">
        <f t="shared" si="0"/>
        <v>Tier 1</v>
      </c>
      <c r="I30" t="str">
        <f t="shared" si="1"/>
        <v>Patiala,Punjab</v>
      </c>
    </row>
    <row r="31" spans="1:9" x14ac:dyDescent="0.3">
      <c r="A31" t="s">
        <v>69</v>
      </c>
      <c r="B31" t="s">
        <v>219</v>
      </c>
      <c r="C31" t="s">
        <v>70</v>
      </c>
      <c r="D31" t="s">
        <v>21</v>
      </c>
      <c r="E31">
        <v>56.71</v>
      </c>
      <c r="F31">
        <v>30</v>
      </c>
      <c r="G31" t="str" cm="1">
        <f t="array" ref="G31">_xlfn.IFS(F31&lt;=25,"Top 25",F31&lt;=50,"Top 50",F31&lt;=75,"Top 75",F31&lt;=100,"Top 100")</f>
        <v>Top 50</v>
      </c>
      <c r="H31" t="str">
        <f t="shared" si="0"/>
        <v>Tier 1</v>
      </c>
      <c r="I31" t="str">
        <f t="shared" si="1"/>
        <v>Srivilliputhur,Tamil Nadu</v>
      </c>
    </row>
    <row r="32" spans="1:9" x14ac:dyDescent="0.3">
      <c r="A32" t="s">
        <v>71</v>
      </c>
      <c r="B32" t="s">
        <v>220</v>
      </c>
      <c r="C32" t="s">
        <v>57</v>
      </c>
      <c r="D32" t="s">
        <v>39</v>
      </c>
      <c r="E32">
        <v>56.41</v>
      </c>
      <c r="F32">
        <v>31</v>
      </c>
      <c r="G32" t="str" cm="1">
        <f t="array" ref="G32">_xlfn.IFS(F32&lt;=25,"Top 25",F32&lt;=50,"Top 50",F32&lt;=75,"Top 75",F32&lt;=100,"Top 100")</f>
        <v>Top 50</v>
      </c>
      <c r="H32" t="str">
        <f t="shared" si="0"/>
        <v>Tier 1</v>
      </c>
      <c r="I32" t="str">
        <f t="shared" si="1"/>
        <v>Pune,Maharashtra</v>
      </c>
    </row>
    <row r="33" spans="1:9" x14ac:dyDescent="0.3">
      <c r="A33" t="s">
        <v>72</v>
      </c>
      <c r="B33" t="s">
        <v>221</v>
      </c>
      <c r="C33" t="s">
        <v>73</v>
      </c>
      <c r="D33" t="s">
        <v>17</v>
      </c>
      <c r="E33">
        <v>56.14</v>
      </c>
      <c r="F33">
        <v>32</v>
      </c>
      <c r="G33" t="str" cm="1">
        <f t="array" ref="G33">_xlfn.IFS(F33&lt;=25,"Top 25",F33&lt;=50,"Top 50",F33&lt;=75,"Top 75",F33&lt;=100,"Top 100")</f>
        <v>Top 50</v>
      </c>
      <c r="H33" t="str">
        <f t="shared" si="0"/>
        <v>Tier 1</v>
      </c>
      <c r="I33" t="str">
        <f t="shared" si="1"/>
        <v>Gautam Budh Nagar,Uttar Pradesh</v>
      </c>
    </row>
    <row r="34" spans="1:9" x14ac:dyDescent="0.3">
      <c r="A34" t="s">
        <v>74</v>
      </c>
      <c r="B34" t="s">
        <v>222</v>
      </c>
      <c r="C34" t="s">
        <v>75</v>
      </c>
      <c r="D34" t="s">
        <v>17</v>
      </c>
      <c r="E34">
        <v>56.03</v>
      </c>
      <c r="F34">
        <v>33</v>
      </c>
      <c r="G34" t="str" cm="1">
        <f t="array" ref="G34">_xlfn.IFS(F34&lt;=25,"Top 25",F34&lt;=50,"Top 50",F34&lt;=75,"Top 75",F34&lt;=100,"Top 100")</f>
        <v>Top 50</v>
      </c>
      <c r="H34" t="str">
        <f t="shared" si="0"/>
        <v>Tier 1</v>
      </c>
      <c r="I34" t="str">
        <f t="shared" si="1"/>
        <v>Lucknow,Uttar Pradesh</v>
      </c>
    </row>
    <row r="35" spans="1:9" x14ac:dyDescent="0.3">
      <c r="A35" t="s">
        <v>76</v>
      </c>
      <c r="B35" t="s">
        <v>223</v>
      </c>
      <c r="C35" t="s">
        <v>77</v>
      </c>
      <c r="D35" t="s">
        <v>52</v>
      </c>
      <c r="E35">
        <v>55.95</v>
      </c>
      <c r="F35">
        <v>34</v>
      </c>
      <c r="G35" t="str" cm="1">
        <f t="array" ref="G35">_xlfn.IFS(F35&lt;=25,"Top 25",F35&lt;=50,"Top 50",F35&lt;=75,"Top 75",F35&lt;=100,"Top 100")</f>
        <v>Top 50</v>
      </c>
      <c r="H35" t="str">
        <f t="shared" si="0"/>
        <v>Tier 1</v>
      </c>
      <c r="I35" t="str">
        <f t="shared" si="1"/>
        <v>Cochin,Kerala</v>
      </c>
    </row>
    <row r="36" spans="1:9" x14ac:dyDescent="0.3">
      <c r="A36" t="s">
        <v>78</v>
      </c>
      <c r="B36" t="s">
        <v>224</v>
      </c>
      <c r="C36" t="s">
        <v>38</v>
      </c>
      <c r="D36" t="s">
        <v>39</v>
      </c>
      <c r="E36">
        <v>55.67</v>
      </c>
      <c r="F36">
        <v>35</v>
      </c>
      <c r="G36" t="str" cm="1">
        <f t="array" ref="G36">_xlfn.IFS(F36&lt;=25,"Top 25",F36&lt;=50,"Top 50",F36&lt;=75,"Top 75",F36&lt;=100,"Top 100")</f>
        <v>Top 50</v>
      </c>
      <c r="H36" t="str">
        <f t="shared" si="0"/>
        <v>Tier 1</v>
      </c>
      <c r="I36" t="str">
        <f t="shared" si="1"/>
        <v>Mumbai,Maharashtra</v>
      </c>
    </row>
    <row r="37" spans="1:9" x14ac:dyDescent="0.3">
      <c r="A37" t="s">
        <v>79</v>
      </c>
      <c r="B37" t="s">
        <v>225</v>
      </c>
      <c r="C37" t="s">
        <v>80</v>
      </c>
      <c r="D37" t="s">
        <v>21</v>
      </c>
      <c r="E37">
        <v>55.6</v>
      </c>
      <c r="F37">
        <v>36</v>
      </c>
      <c r="G37" t="str" cm="1">
        <f t="array" ref="G37">_xlfn.IFS(F37&lt;=25,"Top 25",F37&lt;=50,"Top 50",F37&lt;=75,"Top 75",F37&lt;=100,"Top 100")</f>
        <v>Top 50</v>
      </c>
      <c r="H37" t="str">
        <f t="shared" si="0"/>
        <v>Tier 1</v>
      </c>
      <c r="I37" t="str">
        <f t="shared" si="1"/>
        <v>Tiruchirappalli,Tamil Nadu</v>
      </c>
    </row>
    <row r="38" spans="1:9" x14ac:dyDescent="0.3">
      <c r="A38" t="s">
        <v>81</v>
      </c>
      <c r="B38" t="s">
        <v>226</v>
      </c>
      <c r="C38" t="s">
        <v>82</v>
      </c>
      <c r="D38" t="s">
        <v>52</v>
      </c>
      <c r="E38">
        <v>55.18</v>
      </c>
      <c r="F38">
        <v>37</v>
      </c>
      <c r="G38" t="str" cm="1">
        <f t="array" ref="G38">_xlfn.IFS(F38&lt;=25,"Top 25",F38&lt;=50,"Top 50",F38&lt;=75,"Top 75",F38&lt;=100,"Top 100")</f>
        <v>Top 50</v>
      </c>
      <c r="H38" t="str">
        <f t="shared" si="0"/>
        <v>Tier 1</v>
      </c>
      <c r="I38" t="str">
        <f t="shared" si="1"/>
        <v>Kottayam,Kerala</v>
      </c>
    </row>
    <row r="39" spans="1:9" x14ac:dyDescent="0.3">
      <c r="A39" t="s">
        <v>83</v>
      </c>
      <c r="B39" t="s">
        <v>227</v>
      </c>
      <c r="C39" t="s">
        <v>84</v>
      </c>
      <c r="D39" t="s">
        <v>84</v>
      </c>
      <c r="E39">
        <v>55.11</v>
      </c>
      <c r="F39">
        <v>38</v>
      </c>
      <c r="G39" t="str" cm="1">
        <f t="array" ref="G39">_xlfn.IFS(F39&lt;=25,"Top 25",F39&lt;=50,"Top 50",F39&lt;=75,"Top 75",F39&lt;=100,"Top 100")</f>
        <v>Top 50</v>
      </c>
      <c r="H39" t="str">
        <f t="shared" si="0"/>
        <v>Tier 1</v>
      </c>
      <c r="I39" t="str">
        <f t="shared" si="1"/>
        <v>Chandigarh,Chandigarh</v>
      </c>
    </row>
    <row r="40" spans="1:9" x14ac:dyDescent="0.3">
      <c r="A40" t="s">
        <v>85</v>
      </c>
      <c r="B40" t="s">
        <v>228</v>
      </c>
      <c r="C40" t="s">
        <v>30</v>
      </c>
      <c r="D40" t="s">
        <v>21</v>
      </c>
      <c r="E40">
        <v>55.03</v>
      </c>
      <c r="F40">
        <v>39</v>
      </c>
      <c r="G40" t="str" cm="1">
        <f t="array" ref="G40">_xlfn.IFS(F40&lt;=25,"Top 25",F40&lt;=50,"Top 50",F40&lt;=75,"Top 75",F40&lt;=100,"Top 100")</f>
        <v>Top 50</v>
      </c>
      <c r="H40" t="str">
        <f t="shared" si="0"/>
        <v>Tier 1</v>
      </c>
      <c r="I40" t="str">
        <f t="shared" si="1"/>
        <v>Chennai,Tamil Nadu</v>
      </c>
    </row>
    <row r="41" spans="1:9" x14ac:dyDescent="0.3">
      <c r="A41" t="s">
        <v>86</v>
      </c>
      <c r="B41" t="s">
        <v>229</v>
      </c>
      <c r="C41" t="s">
        <v>87</v>
      </c>
      <c r="D41" t="s">
        <v>88</v>
      </c>
      <c r="E41">
        <v>54.86</v>
      </c>
      <c r="F41">
        <v>40</v>
      </c>
      <c r="G41" t="str" cm="1">
        <f t="array" ref="G41">_xlfn.IFS(F41&lt;=25,"Top 25",F41&lt;=50,"Top 50",F41&lt;=75,"Top 75",F41&lt;=100,"Top 100")</f>
        <v>Top 50</v>
      </c>
      <c r="H41" t="str">
        <f t="shared" si="0"/>
        <v>Tier 1</v>
      </c>
      <c r="I41" t="str">
        <f t="shared" si="1"/>
        <v>Guwahati,Assam</v>
      </c>
    </row>
    <row r="42" spans="1:9" x14ac:dyDescent="0.3">
      <c r="A42" t="s">
        <v>89</v>
      </c>
      <c r="B42" t="s">
        <v>230</v>
      </c>
      <c r="C42" t="s">
        <v>10</v>
      </c>
      <c r="D42" t="s">
        <v>11</v>
      </c>
      <c r="E42">
        <v>54.86</v>
      </c>
      <c r="F42">
        <v>40</v>
      </c>
      <c r="G42" t="str" cm="1">
        <f t="array" ref="G42">_xlfn.IFS(F42&lt;=25,"Top 25",F42&lt;=50,"Top 50",F42&lt;=75,"Top 75",F42&lt;=100,"Top 100")</f>
        <v>Top 50</v>
      </c>
      <c r="H42" t="str">
        <f t="shared" si="0"/>
        <v>Tier 1</v>
      </c>
      <c r="I42" t="str">
        <f t="shared" si="1"/>
        <v>New Delhi,Delhi</v>
      </c>
    </row>
    <row r="43" spans="1:9" x14ac:dyDescent="0.3">
      <c r="A43" t="s">
        <v>90</v>
      </c>
      <c r="B43" t="s">
        <v>231</v>
      </c>
      <c r="C43" t="s">
        <v>91</v>
      </c>
      <c r="D43" t="s">
        <v>39</v>
      </c>
      <c r="E43">
        <v>54.71</v>
      </c>
      <c r="F43">
        <v>42</v>
      </c>
      <c r="G43" t="str" cm="1">
        <f t="array" ref="G43">_xlfn.IFS(F43&lt;=25,"Top 25",F43&lt;=50,"Top 50",F43&lt;=75,"Top 75",F43&lt;=100,"Top 100")</f>
        <v>Top 50</v>
      </c>
      <c r="H43" t="str">
        <f t="shared" si="0"/>
        <v>Tier 1</v>
      </c>
      <c r="I43" t="str">
        <f t="shared" si="1"/>
        <v>Wardha,Maharashtra</v>
      </c>
    </row>
    <row r="44" spans="1:9" x14ac:dyDescent="0.3">
      <c r="A44" t="s">
        <v>92</v>
      </c>
      <c r="B44" t="s">
        <v>232</v>
      </c>
      <c r="C44" t="s">
        <v>41</v>
      </c>
      <c r="D44" t="s">
        <v>42</v>
      </c>
      <c r="E44">
        <v>54.69</v>
      </c>
      <c r="F44">
        <v>43</v>
      </c>
      <c r="G44" t="str" cm="1">
        <f t="array" ref="G44">_xlfn.IFS(F44&lt;=25,"Top 25",F44&lt;=50,"Top 50",F44&lt;=75,"Top 75",F44&lt;=100,"Top 100")</f>
        <v>Top 50</v>
      </c>
      <c r="H44" t="str">
        <f t="shared" si="0"/>
        <v>Tier 1</v>
      </c>
      <c r="I44" t="str">
        <f t="shared" si="1"/>
        <v>Hyderabad,Telangana</v>
      </c>
    </row>
    <row r="45" spans="1:9" x14ac:dyDescent="0.3">
      <c r="A45" t="s">
        <v>93</v>
      </c>
      <c r="B45" t="s">
        <v>233</v>
      </c>
      <c r="C45" t="s">
        <v>57</v>
      </c>
      <c r="D45" t="s">
        <v>39</v>
      </c>
      <c r="E45">
        <v>54.59</v>
      </c>
      <c r="F45">
        <v>44</v>
      </c>
      <c r="G45" t="str" cm="1">
        <f t="array" ref="G45">_xlfn.IFS(F45&lt;=25,"Top 25",F45&lt;=50,"Top 50",F45&lt;=75,"Top 75",F45&lt;=100,"Top 100")</f>
        <v>Top 50</v>
      </c>
      <c r="H45" t="str">
        <f t="shared" si="0"/>
        <v>Tier 1</v>
      </c>
      <c r="I45" t="str">
        <f t="shared" si="1"/>
        <v>Pune,Maharashtra</v>
      </c>
    </row>
    <row r="46" spans="1:9" x14ac:dyDescent="0.3">
      <c r="A46" t="s">
        <v>94</v>
      </c>
      <c r="B46" t="s">
        <v>234</v>
      </c>
      <c r="C46" t="s">
        <v>95</v>
      </c>
      <c r="D46" t="s">
        <v>96</v>
      </c>
      <c r="E46">
        <v>54.43</v>
      </c>
      <c r="F46">
        <v>45</v>
      </c>
      <c r="G46" t="str" cm="1">
        <f t="array" ref="G46">_xlfn.IFS(F46&lt;=25,"Top 25",F46&lt;=50,"Top 50",F46&lt;=75,"Top 75",F46&lt;=100,"Top 100")</f>
        <v>Top 50</v>
      </c>
      <c r="H46" t="str">
        <f t="shared" si="0"/>
        <v>Tier 1</v>
      </c>
      <c r="I46" t="str">
        <f t="shared" si="1"/>
        <v>Srinagar,Jammu and Kashmir</v>
      </c>
    </row>
    <row r="47" spans="1:9" x14ac:dyDescent="0.3">
      <c r="A47" t="s">
        <v>97</v>
      </c>
      <c r="B47" t="s">
        <v>235</v>
      </c>
      <c r="C47" t="s">
        <v>98</v>
      </c>
      <c r="D47" t="s">
        <v>99</v>
      </c>
      <c r="E47">
        <v>54.02</v>
      </c>
      <c r="F47">
        <v>46</v>
      </c>
      <c r="G47" t="str" cm="1">
        <f t="array" ref="G47">_xlfn.IFS(F47&lt;=25,"Top 25",F47&lt;=50,"Top 50",F47&lt;=75,"Top 75",F47&lt;=100,"Top 100")</f>
        <v>Top 50</v>
      </c>
      <c r="H47" t="str">
        <f t="shared" si="0"/>
        <v>Tier 1</v>
      </c>
      <c r="I47" t="str">
        <f t="shared" si="1"/>
        <v>Dehradun,Uttarakhand</v>
      </c>
    </row>
    <row r="48" spans="1:9" x14ac:dyDescent="0.3">
      <c r="A48" t="s">
        <v>100</v>
      </c>
      <c r="B48" t="s">
        <v>236</v>
      </c>
      <c r="C48" t="s">
        <v>101</v>
      </c>
      <c r="D48" t="s">
        <v>21</v>
      </c>
      <c r="E48">
        <v>53.84</v>
      </c>
      <c r="F48">
        <v>47</v>
      </c>
      <c r="G48" t="str" cm="1">
        <f t="array" ref="G48">_xlfn.IFS(F48&lt;=25,"Top 25",F48&lt;=50,"Top 50",F48&lt;=75,"Top 75",F48&lt;=100,"Top 100")</f>
        <v>Top 50</v>
      </c>
      <c r="H48" t="str">
        <f t="shared" si="0"/>
        <v>Tier 1</v>
      </c>
      <c r="I48" t="str">
        <f t="shared" si="1"/>
        <v>Karaikudi,Tamil Nadu</v>
      </c>
    </row>
    <row r="49" spans="1:9" x14ac:dyDescent="0.3">
      <c r="A49" t="s">
        <v>102</v>
      </c>
      <c r="B49" t="s">
        <v>237</v>
      </c>
      <c r="C49" t="s">
        <v>10</v>
      </c>
      <c r="D49" t="s">
        <v>11</v>
      </c>
      <c r="E49">
        <v>53.31</v>
      </c>
      <c r="F49">
        <v>48</v>
      </c>
      <c r="G49" t="str" cm="1">
        <f t="array" ref="G49">_xlfn.IFS(F49&lt;=25,"Top 25",F49&lt;=50,"Top 50",F49&lt;=75,"Top 75",F49&lt;=100,"Top 100")</f>
        <v>Top 50</v>
      </c>
      <c r="H49" t="str">
        <f t="shared" si="0"/>
        <v>Tier 1</v>
      </c>
      <c r="I49" t="str">
        <f t="shared" si="1"/>
        <v>New Delhi,Delhi</v>
      </c>
    </row>
    <row r="50" spans="1:9" x14ac:dyDescent="0.3">
      <c r="A50" t="s">
        <v>103</v>
      </c>
      <c r="B50" t="s">
        <v>238</v>
      </c>
      <c r="C50" t="s">
        <v>38</v>
      </c>
      <c r="D50" t="s">
        <v>39</v>
      </c>
      <c r="E50">
        <v>52.43</v>
      </c>
      <c r="F50">
        <v>49</v>
      </c>
      <c r="G50" t="str" cm="1">
        <f t="array" ref="G50">_xlfn.IFS(F50&lt;=25,"Top 25",F50&lt;=50,"Top 50",F50&lt;=75,"Top 75",F50&lt;=100,"Top 100")</f>
        <v>Top 50</v>
      </c>
      <c r="H50" t="str">
        <f t="shared" si="0"/>
        <v>Tier 1</v>
      </c>
      <c r="I50" t="str">
        <f t="shared" si="1"/>
        <v>Mumbai,Maharashtra</v>
      </c>
    </row>
    <row r="51" spans="1:9" x14ac:dyDescent="0.3">
      <c r="A51" t="s">
        <v>104</v>
      </c>
      <c r="B51" t="s">
        <v>239</v>
      </c>
      <c r="C51" t="s">
        <v>105</v>
      </c>
      <c r="D51" t="s">
        <v>96</v>
      </c>
      <c r="E51">
        <v>52.33</v>
      </c>
      <c r="F51">
        <v>50</v>
      </c>
      <c r="G51" t="str" cm="1">
        <f t="array" ref="G51">_xlfn.IFS(F51&lt;=25,"Top 25",F51&lt;=50,"Top 50",F51&lt;=75,"Top 75",F51&lt;=100,"Top 100")</f>
        <v>Top 50</v>
      </c>
      <c r="H51" t="str">
        <f t="shared" si="0"/>
        <v>Tier 1</v>
      </c>
      <c r="I51" t="str">
        <f t="shared" si="1"/>
        <v>Jammu,Jammu and Kashmir</v>
      </c>
    </row>
    <row r="52" spans="1:9" x14ac:dyDescent="0.3">
      <c r="A52" t="s">
        <v>106</v>
      </c>
      <c r="B52" t="s">
        <v>240</v>
      </c>
      <c r="C52" t="s">
        <v>30</v>
      </c>
      <c r="D52" t="s">
        <v>21</v>
      </c>
      <c r="E52">
        <v>52.16</v>
      </c>
      <c r="F52">
        <v>51</v>
      </c>
      <c r="G52" t="str" cm="1">
        <f t="array" ref="G52">_xlfn.IFS(F52&lt;=25,"Top 25",F52&lt;=50,"Top 50",F52&lt;=75,"Top 75",F52&lt;=100,"Top 100")</f>
        <v>Top 75</v>
      </c>
      <c r="H52" t="str">
        <f t="shared" si="0"/>
        <v>Tier 1</v>
      </c>
      <c r="I52" t="str">
        <f t="shared" si="1"/>
        <v>Chennai,Tamil Nadu</v>
      </c>
    </row>
    <row r="53" spans="1:9" x14ac:dyDescent="0.3">
      <c r="A53" t="s">
        <v>107</v>
      </c>
      <c r="B53" t="s">
        <v>241</v>
      </c>
      <c r="C53" t="s">
        <v>98</v>
      </c>
      <c r="D53" t="s">
        <v>99</v>
      </c>
      <c r="E53">
        <v>52.01</v>
      </c>
      <c r="F53">
        <v>52</v>
      </c>
      <c r="G53" t="str" cm="1">
        <f t="array" ref="G53">_xlfn.IFS(F53&lt;=25,"Top 25",F53&lt;=50,"Top 50",F53&lt;=75,"Top 75",F53&lt;=100,"Top 100")</f>
        <v>Top 75</v>
      </c>
      <c r="H53" t="str">
        <f t="shared" si="0"/>
        <v>Tier 1</v>
      </c>
      <c r="I53" t="str">
        <f t="shared" si="1"/>
        <v>Dehradun,Uttarakhand</v>
      </c>
    </row>
    <row r="54" spans="1:9" x14ac:dyDescent="0.3">
      <c r="A54" t="s">
        <v>108</v>
      </c>
      <c r="B54" t="s">
        <v>242</v>
      </c>
      <c r="C54" t="s">
        <v>75</v>
      </c>
      <c r="D54" t="s">
        <v>17</v>
      </c>
      <c r="E54">
        <v>51.1</v>
      </c>
      <c r="F54">
        <v>53</v>
      </c>
      <c r="G54" t="str" cm="1">
        <f t="array" ref="G54">_xlfn.IFS(F54&lt;=25,"Top 25",F54&lt;=50,"Top 50",F54&lt;=75,"Top 75",F54&lt;=100,"Top 100")</f>
        <v>Top 75</v>
      </c>
      <c r="H54" t="str">
        <f t="shared" si="0"/>
        <v>Tier 1</v>
      </c>
      <c r="I54" t="str">
        <f t="shared" si="1"/>
        <v>Lucknow,Uttar Pradesh</v>
      </c>
    </row>
    <row r="55" spans="1:9" x14ac:dyDescent="0.3">
      <c r="A55" t="s">
        <v>109</v>
      </c>
      <c r="B55" t="s">
        <v>243</v>
      </c>
      <c r="C55" t="s">
        <v>59</v>
      </c>
      <c r="D55" t="s">
        <v>8</v>
      </c>
      <c r="E55">
        <v>51.04</v>
      </c>
      <c r="F55">
        <v>54</v>
      </c>
      <c r="G55" t="str" cm="1">
        <f t="array" ref="G55">_xlfn.IFS(F55&lt;=25,"Top 25",F55&lt;=50,"Top 50",F55&lt;=75,"Top 75",F55&lt;=100,"Top 100")</f>
        <v>Top 75</v>
      </c>
      <c r="H55" t="str">
        <f t="shared" si="0"/>
        <v>Tier 1</v>
      </c>
      <c r="I55" t="str">
        <f t="shared" si="1"/>
        <v>Mysuru,Karnataka</v>
      </c>
    </row>
    <row r="56" spans="1:9" x14ac:dyDescent="0.3">
      <c r="A56" t="s">
        <v>110</v>
      </c>
      <c r="B56" t="s">
        <v>244</v>
      </c>
      <c r="C56" t="s">
        <v>30</v>
      </c>
      <c r="D56" t="s">
        <v>21</v>
      </c>
      <c r="E56">
        <v>50.86</v>
      </c>
      <c r="F56">
        <v>55</v>
      </c>
      <c r="G56" t="str" cm="1">
        <f t="array" ref="G56">_xlfn.IFS(F56&lt;=25,"Top 25",F56&lt;=50,"Top 50",F56&lt;=75,"Top 75",F56&lt;=100,"Top 100")</f>
        <v>Top 75</v>
      </c>
      <c r="H56" t="str">
        <f t="shared" si="0"/>
        <v>Tier 1</v>
      </c>
      <c r="I56" t="str">
        <f t="shared" si="1"/>
        <v>Chennai,Tamil Nadu</v>
      </c>
    </row>
    <row r="57" spans="1:9" x14ac:dyDescent="0.3">
      <c r="A57" t="s">
        <v>111</v>
      </c>
      <c r="B57" t="s">
        <v>245</v>
      </c>
      <c r="C57" t="s">
        <v>112</v>
      </c>
      <c r="D57" t="s">
        <v>21</v>
      </c>
      <c r="E57">
        <v>50.36</v>
      </c>
      <c r="F57">
        <v>56</v>
      </c>
      <c r="G57" t="str" cm="1">
        <f t="array" ref="G57">_xlfn.IFS(F57&lt;=25,"Top 25",F57&lt;=50,"Top 50",F57&lt;=75,"Top 75",F57&lt;=100,"Top 100")</f>
        <v>Top 75</v>
      </c>
      <c r="H57" t="str">
        <f t="shared" si="0"/>
        <v>Tier 1</v>
      </c>
      <c r="I57" t="str">
        <f t="shared" si="1"/>
        <v>Salem,Tamil Nadu</v>
      </c>
    </row>
    <row r="58" spans="1:9" x14ac:dyDescent="0.3">
      <c r="A58" t="s">
        <v>113</v>
      </c>
      <c r="B58" t="s">
        <v>246</v>
      </c>
      <c r="C58" t="s">
        <v>114</v>
      </c>
      <c r="D58" t="s">
        <v>49</v>
      </c>
      <c r="E58">
        <v>50.32</v>
      </c>
      <c r="F58">
        <v>57</v>
      </c>
      <c r="G58" t="str" cm="1">
        <f t="array" ref="G58">_xlfn.IFS(F58&lt;=25,"Top 25",F58&lt;=50,"Top 50",F58&lt;=75,"Top 75",F58&lt;=100,"Top 100")</f>
        <v>Top 75</v>
      </c>
      <c r="H58" t="str">
        <f t="shared" si="0"/>
        <v>Tier 1</v>
      </c>
      <c r="I58" t="str">
        <f t="shared" si="1"/>
        <v>Ludhiana,Punjab</v>
      </c>
    </row>
    <row r="59" spans="1:9" x14ac:dyDescent="0.3">
      <c r="A59" t="s">
        <v>115</v>
      </c>
      <c r="B59" t="s">
        <v>247</v>
      </c>
      <c r="C59" t="s">
        <v>38</v>
      </c>
      <c r="D59" t="s">
        <v>39</v>
      </c>
      <c r="E59">
        <v>50.2</v>
      </c>
      <c r="F59">
        <v>58</v>
      </c>
      <c r="G59" t="str" cm="1">
        <f t="array" ref="G59">_xlfn.IFS(F59&lt;=25,"Top 25",F59&lt;=50,"Top 50",F59&lt;=75,"Top 75",F59&lt;=100,"Top 100")</f>
        <v>Top 75</v>
      </c>
      <c r="H59" t="str">
        <f t="shared" si="0"/>
        <v>Tier 1</v>
      </c>
      <c r="I59" t="str">
        <f t="shared" si="1"/>
        <v>Mumbai,Maharashtra</v>
      </c>
    </row>
    <row r="60" spans="1:9" x14ac:dyDescent="0.3">
      <c r="A60" t="s">
        <v>116</v>
      </c>
      <c r="B60" t="s">
        <v>248</v>
      </c>
      <c r="C60" t="s">
        <v>117</v>
      </c>
      <c r="D60" t="s">
        <v>55</v>
      </c>
      <c r="E60">
        <v>50.06</v>
      </c>
      <c r="F60">
        <v>59</v>
      </c>
      <c r="G60" t="str" cm="1">
        <f t="array" ref="G60">_xlfn.IFS(F60&lt;=25,"Top 25",F60&lt;=50,"Top 50",F60&lt;=75,"Top 75",F60&lt;=100,"Top 100")</f>
        <v>Top 75</v>
      </c>
      <c r="H60" t="str">
        <f t="shared" si="0"/>
        <v>Tier 1</v>
      </c>
      <c r="I60" t="str">
        <f t="shared" si="1"/>
        <v>Guntur,Andhra Pradesh</v>
      </c>
    </row>
    <row r="61" spans="1:9" x14ac:dyDescent="0.3">
      <c r="A61" t="s">
        <v>118</v>
      </c>
      <c r="B61" t="s">
        <v>249</v>
      </c>
      <c r="C61" t="s">
        <v>7</v>
      </c>
      <c r="D61" t="s">
        <v>8</v>
      </c>
      <c r="E61">
        <v>49.87</v>
      </c>
      <c r="F61">
        <v>60</v>
      </c>
      <c r="G61" t="str" cm="1">
        <f t="array" ref="G61">_xlfn.IFS(F61&lt;=25,"Top 25",F61&lt;=50,"Top 50",F61&lt;=75,"Top 75",F61&lt;=100,"Top 100")</f>
        <v>Top 75</v>
      </c>
      <c r="H61" t="str">
        <f t="shared" si="0"/>
        <v>Tier 2</v>
      </c>
      <c r="I61" t="str">
        <f t="shared" si="1"/>
        <v>Bengaluru,Karnataka</v>
      </c>
    </row>
    <row r="62" spans="1:9" x14ac:dyDescent="0.3">
      <c r="A62" t="s">
        <v>119</v>
      </c>
      <c r="B62" t="s">
        <v>250</v>
      </c>
      <c r="C62" t="s">
        <v>38</v>
      </c>
      <c r="D62" t="s">
        <v>39</v>
      </c>
      <c r="E62">
        <v>49.86</v>
      </c>
      <c r="F62">
        <v>61</v>
      </c>
      <c r="G62" t="str" cm="1">
        <f t="array" ref="G62">_xlfn.IFS(F62&lt;=25,"Top 25",F62&lt;=50,"Top 50",F62&lt;=75,"Top 75",F62&lt;=100,"Top 100")</f>
        <v>Top 75</v>
      </c>
      <c r="H62" t="str">
        <f t="shared" si="0"/>
        <v>Tier 2</v>
      </c>
      <c r="I62" t="str">
        <f t="shared" si="1"/>
        <v>Mumbai,Maharashtra</v>
      </c>
    </row>
    <row r="63" spans="1:9" x14ac:dyDescent="0.3">
      <c r="A63" t="s">
        <v>120</v>
      </c>
      <c r="B63" t="s">
        <v>251</v>
      </c>
      <c r="C63" t="s">
        <v>121</v>
      </c>
      <c r="D63" t="s">
        <v>17</v>
      </c>
      <c r="E63">
        <v>49.8</v>
      </c>
      <c r="F63">
        <v>62</v>
      </c>
      <c r="G63" t="str" cm="1">
        <f t="array" ref="G63">_xlfn.IFS(F63&lt;=25,"Top 25",F63&lt;=50,"Top 50",F63&lt;=75,"Top 75",F63&lt;=100,"Top 100")</f>
        <v>Top 75</v>
      </c>
      <c r="H63" t="str">
        <f t="shared" si="0"/>
        <v>Tier 2</v>
      </c>
      <c r="I63" t="str">
        <f t="shared" si="1"/>
        <v>Gautam Buddha Nagar,Uttar Pradesh</v>
      </c>
    </row>
    <row r="64" spans="1:9" x14ac:dyDescent="0.3">
      <c r="A64" t="s">
        <v>122</v>
      </c>
      <c r="B64" t="s">
        <v>252</v>
      </c>
      <c r="C64" t="s">
        <v>123</v>
      </c>
      <c r="D64" t="s">
        <v>21</v>
      </c>
      <c r="E64">
        <v>49.72</v>
      </c>
      <c r="F64">
        <v>63</v>
      </c>
      <c r="G64" t="str" cm="1">
        <f t="array" ref="G64">_xlfn.IFS(F64&lt;=25,"Top 25",F64&lt;=50,"Top 50",F64&lt;=75,"Top 75",F64&lt;=100,"Top 100")</f>
        <v>Top 75</v>
      </c>
      <c r="H64" t="str">
        <f t="shared" si="0"/>
        <v>Tier 2</v>
      </c>
      <c r="I64" t="str">
        <f t="shared" si="1"/>
        <v>Madurai,Tamil Nadu</v>
      </c>
    </row>
    <row r="65" spans="1:9" x14ac:dyDescent="0.3">
      <c r="A65" t="s">
        <v>124</v>
      </c>
      <c r="B65" t="s">
        <v>253</v>
      </c>
      <c r="C65" t="s">
        <v>125</v>
      </c>
      <c r="D65" t="s">
        <v>46</v>
      </c>
      <c r="E65">
        <v>49.5</v>
      </c>
      <c r="F65">
        <v>64</v>
      </c>
      <c r="G65" t="str" cm="1">
        <f t="array" ref="G65">_xlfn.IFS(F65&lt;=25,"Top 25",F65&lt;=50,"Top 50",F65&lt;=75,"Top 75",F65&lt;=100,"Top 100")</f>
        <v>Top 75</v>
      </c>
      <c r="H65" t="str">
        <f t="shared" si="0"/>
        <v>Tier 2</v>
      </c>
      <c r="I65" t="str">
        <f t="shared" si="1"/>
        <v>Jaipur,Rajasthan</v>
      </c>
    </row>
    <row r="66" spans="1:9" x14ac:dyDescent="0.3">
      <c r="A66" t="s">
        <v>126</v>
      </c>
      <c r="B66" t="s">
        <v>254</v>
      </c>
      <c r="C66" t="s">
        <v>7</v>
      </c>
      <c r="D66" t="s">
        <v>8</v>
      </c>
      <c r="E66">
        <v>49.47</v>
      </c>
      <c r="F66">
        <v>65</v>
      </c>
      <c r="G66" t="str" cm="1">
        <f t="array" ref="G66">_xlfn.IFS(F66&lt;=25,"Top 25",F66&lt;=50,"Top 50",F66&lt;=75,"Top 75",F66&lt;=100,"Top 100")</f>
        <v>Top 75</v>
      </c>
      <c r="H66" t="str">
        <f t="shared" si="0"/>
        <v>Tier 2</v>
      </c>
      <c r="I66" t="str">
        <f t="shared" si="1"/>
        <v>Bengaluru,Karnataka</v>
      </c>
    </row>
    <row r="67" spans="1:9" x14ac:dyDescent="0.3">
      <c r="A67" t="s">
        <v>127</v>
      </c>
      <c r="B67" t="s">
        <v>255</v>
      </c>
      <c r="C67" t="s">
        <v>128</v>
      </c>
      <c r="D67" t="s">
        <v>8</v>
      </c>
      <c r="E67">
        <v>49.45</v>
      </c>
      <c r="F67">
        <v>66</v>
      </c>
      <c r="G67" t="str" cm="1">
        <f t="array" ref="G67">_xlfn.IFS(F67&lt;=25,"Top 25",F67&lt;=50,"Top 50",F67&lt;=75,"Top 75",F67&lt;=100,"Top 100")</f>
        <v>Top 75</v>
      </c>
      <c r="H67" t="str">
        <f t="shared" ref="H67:H101" si="2">IF(E67&gt;50,"Tier 1","Tier 2")</f>
        <v>Tier 2</v>
      </c>
      <c r="I67" t="str">
        <f t="shared" ref="I67:I101" si="3">C67 &amp; "," &amp;D67</f>
        <v>Mangaluru,Karnataka</v>
      </c>
    </row>
    <row r="68" spans="1:9" x14ac:dyDescent="0.3">
      <c r="A68" t="s">
        <v>129</v>
      </c>
      <c r="B68" t="s">
        <v>256</v>
      </c>
      <c r="C68" t="s">
        <v>130</v>
      </c>
      <c r="D68" t="s">
        <v>46</v>
      </c>
      <c r="E68">
        <v>49.38</v>
      </c>
      <c r="F68">
        <v>67</v>
      </c>
      <c r="G68" t="str" cm="1">
        <f t="array" ref="G68">_xlfn.IFS(F68&lt;=25,"Top 25",F68&lt;=50,"Top 50",F68&lt;=75,"Top 75",F68&lt;=100,"Top 100")</f>
        <v>Top 75</v>
      </c>
      <c r="H68" t="str">
        <f t="shared" si="2"/>
        <v>Tier 2</v>
      </c>
      <c r="I68" t="str">
        <f t="shared" si="3"/>
        <v>Banasthali,Rajasthan</v>
      </c>
    </row>
    <row r="69" spans="1:9" x14ac:dyDescent="0.3">
      <c r="A69" t="s">
        <v>131</v>
      </c>
      <c r="B69" t="s">
        <v>257</v>
      </c>
      <c r="C69" t="s">
        <v>132</v>
      </c>
      <c r="D69" t="s">
        <v>133</v>
      </c>
      <c r="E69">
        <v>49.14</v>
      </c>
      <c r="F69">
        <v>68</v>
      </c>
      <c r="G69" t="str" cm="1">
        <f t="array" ref="G69">_xlfn.IFS(F69&lt;=25,"Top 25",F69&lt;=50,"Top 50",F69&lt;=75,"Top 75",F69&lt;=100,"Top 100")</f>
        <v>Top 75</v>
      </c>
      <c r="H69" t="str">
        <f t="shared" si="2"/>
        <v>Tier 2</v>
      </c>
      <c r="I69" t="str">
        <f t="shared" si="3"/>
        <v>Puducherry,Pondicherry</v>
      </c>
    </row>
    <row r="70" spans="1:9" x14ac:dyDescent="0.3">
      <c r="A70" t="s">
        <v>134</v>
      </c>
      <c r="B70" t="s">
        <v>258</v>
      </c>
      <c r="C70" t="s">
        <v>135</v>
      </c>
      <c r="D70" t="s">
        <v>88</v>
      </c>
      <c r="E70">
        <v>49.01</v>
      </c>
      <c r="F70">
        <v>69</v>
      </c>
      <c r="G70" t="str" cm="1">
        <f t="array" ref="G70">_xlfn.IFS(F70&lt;=25,"Top 25",F70&lt;=50,"Top 50",F70&lt;=75,"Top 75",F70&lt;=100,"Top 100")</f>
        <v>Top 75</v>
      </c>
      <c r="H70" t="str">
        <f t="shared" si="2"/>
        <v>Tier 2</v>
      </c>
      <c r="I70" t="str">
        <f t="shared" si="3"/>
        <v>Tezpur,Assam</v>
      </c>
    </row>
    <row r="71" spans="1:9" x14ac:dyDescent="0.3">
      <c r="A71" t="s">
        <v>136</v>
      </c>
      <c r="B71" t="s">
        <v>259</v>
      </c>
      <c r="C71" t="s">
        <v>137</v>
      </c>
      <c r="D71" t="s">
        <v>138</v>
      </c>
      <c r="E71">
        <v>48.82</v>
      </c>
      <c r="F71">
        <v>70</v>
      </c>
      <c r="G71" t="str" cm="1">
        <f t="array" ref="G71">_xlfn.IFS(F71&lt;=25,"Top 25",F71&lt;=50,"Top 50",F71&lt;=75,"Top 75",F71&lt;=100,"Top 100")</f>
        <v>Top 75</v>
      </c>
      <c r="H71" t="str">
        <f t="shared" si="2"/>
        <v>Tier 2</v>
      </c>
      <c r="I71" t="str">
        <f t="shared" si="3"/>
        <v>Solan,Himachal Pradesh</v>
      </c>
    </row>
    <row r="72" spans="1:9" x14ac:dyDescent="0.3">
      <c r="A72" t="s">
        <v>139</v>
      </c>
      <c r="B72" t="s">
        <v>260</v>
      </c>
      <c r="C72" t="s">
        <v>140</v>
      </c>
      <c r="D72" t="s">
        <v>141</v>
      </c>
      <c r="E72">
        <v>48.67</v>
      </c>
      <c r="F72">
        <v>71</v>
      </c>
      <c r="G72" t="str" cm="1">
        <f t="array" ref="G72">_xlfn.IFS(F72&lt;=25,"Top 25",F72&lt;=50,"Top 50",F72&lt;=75,"Top 75",F72&lt;=100,"Top 100")</f>
        <v>Top 75</v>
      </c>
      <c r="H72" t="str">
        <f t="shared" si="2"/>
        <v>Tier 2</v>
      </c>
      <c r="I72" t="str">
        <f t="shared" si="3"/>
        <v>Ambala,Haryana</v>
      </c>
    </row>
    <row r="73" spans="1:9" x14ac:dyDescent="0.3">
      <c r="A73" t="s">
        <v>142</v>
      </c>
      <c r="B73" t="s">
        <v>261</v>
      </c>
      <c r="C73" t="s">
        <v>117</v>
      </c>
      <c r="D73" t="s">
        <v>55</v>
      </c>
      <c r="E73">
        <v>48.45</v>
      </c>
      <c r="F73">
        <v>72</v>
      </c>
      <c r="G73" t="str" cm="1">
        <f t="array" ref="G73">_xlfn.IFS(F73&lt;=25,"Top 25",F73&lt;=50,"Top 50",F73&lt;=75,"Top 75",F73&lt;=100,"Top 100")</f>
        <v>Top 75</v>
      </c>
      <c r="H73" t="str">
        <f t="shared" si="2"/>
        <v>Tier 2</v>
      </c>
      <c r="I73" t="str">
        <f t="shared" si="3"/>
        <v>Guntur,Andhra Pradesh</v>
      </c>
    </row>
    <row r="74" spans="1:9" x14ac:dyDescent="0.3">
      <c r="A74" t="s">
        <v>143</v>
      </c>
      <c r="B74" t="s">
        <v>262</v>
      </c>
      <c r="C74" t="s">
        <v>30</v>
      </c>
      <c r="D74" t="s">
        <v>21</v>
      </c>
      <c r="E74">
        <v>48.36</v>
      </c>
      <c r="F74">
        <v>73</v>
      </c>
      <c r="G74" t="str" cm="1">
        <f t="array" ref="G74">_xlfn.IFS(F74&lt;=25,"Top 25",F74&lt;=50,"Top 50",F74&lt;=75,"Top 75",F74&lt;=100,"Top 100")</f>
        <v>Top 75</v>
      </c>
      <c r="H74" t="str">
        <f t="shared" si="2"/>
        <v>Tier 2</v>
      </c>
      <c r="I74" t="str">
        <f t="shared" si="3"/>
        <v>Chennai,Tamil Nadu</v>
      </c>
    </row>
    <row r="75" spans="1:9" x14ac:dyDescent="0.3">
      <c r="A75" t="s">
        <v>144</v>
      </c>
      <c r="B75" t="s">
        <v>263</v>
      </c>
      <c r="C75" t="s">
        <v>41</v>
      </c>
      <c r="D75" t="s">
        <v>42</v>
      </c>
      <c r="E75">
        <v>48.32</v>
      </c>
      <c r="F75">
        <v>74</v>
      </c>
      <c r="G75" t="str" cm="1">
        <f t="array" ref="G75">_xlfn.IFS(F75&lt;=25,"Top 25",F75&lt;=50,"Top 50",F75&lt;=75,"Top 75",F75&lt;=100,"Top 100")</f>
        <v>Top 75</v>
      </c>
      <c r="H75" t="str">
        <f t="shared" si="2"/>
        <v>Tier 2</v>
      </c>
      <c r="I75" t="str">
        <f t="shared" si="3"/>
        <v>Hyderabad,Telangana</v>
      </c>
    </row>
    <row r="76" spans="1:9" x14ac:dyDescent="0.3">
      <c r="A76" t="s">
        <v>145</v>
      </c>
      <c r="B76" t="s">
        <v>264</v>
      </c>
      <c r="C76" t="s">
        <v>146</v>
      </c>
      <c r="D76" t="s">
        <v>8</v>
      </c>
      <c r="E76">
        <v>48.1</v>
      </c>
      <c r="F76">
        <v>75</v>
      </c>
      <c r="G76" t="str" cm="1">
        <f t="array" ref="G76">_xlfn.IFS(F76&lt;=25,"Top 25",F76&lt;=50,"Top 50",F76&lt;=75,"Top 75",F76&lt;=100,"Top 100")</f>
        <v>Top 75</v>
      </c>
      <c r="H76" t="str">
        <f t="shared" si="2"/>
        <v>Tier 2</v>
      </c>
      <c r="I76" t="str">
        <f t="shared" si="3"/>
        <v>Belgaum,Karnataka</v>
      </c>
    </row>
    <row r="77" spans="1:9" x14ac:dyDescent="0.3">
      <c r="A77" t="s">
        <v>147</v>
      </c>
      <c r="B77" t="s">
        <v>265</v>
      </c>
      <c r="C77" t="s">
        <v>148</v>
      </c>
      <c r="D77" t="s">
        <v>149</v>
      </c>
      <c r="E77">
        <v>48.04</v>
      </c>
      <c r="F77">
        <v>76</v>
      </c>
      <c r="G77" t="str" cm="1">
        <f t="array" ref="G77">_xlfn.IFS(F77&lt;=25,"Top 25",F77&lt;=50,"Top 50",F77&lt;=75,"Top 75",F77&lt;=100,"Top 100")</f>
        <v>Top 100</v>
      </c>
      <c r="H77" t="str">
        <f t="shared" si="2"/>
        <v>Tier 2</v>
      </c>
      <c r="I77" t="str">
        <f t="shared" si="3"/>
        <v>Ahmedabad,Gujarat</v>
      </c>
    </row>
    <row r="78" spans="1:9" x14ac:dyDescent="0.3">
      <c r="A78" t="s">
        <v>150</v>
      </c>
      <c r="B78" t="s">
        <v>266</v>
      </c>
      <c r="C78" t="s">
        <v>151</v>
      </c>
      <c r="D78" t="s">
        <v>152</v>
      </c>
      <c r="E78">
        <v>48.03</v>
      </c>
      <c r="F78">
        <v>77</v>
      </c>
      <c r="G78" t="str" cm="1">
        <f t="array" ref="G78">_xlfn.IFS(F78&lt;=25,"Top 25",F78&lt;=50,"Top 50",F78&lt;=75,"Top 75",F78&lt;=100,"Top 100")</f>
        <v>Top 100</v>
      </c>
      <c r="H78" t="str">
        <f t="shared" si="2"/>
        <v>Tier 2</v>
      </c>
      <c r="I78" t="str">
        <f t="shared" si="3"/>
        <v>Aizawl,Mizoram</v>
      </c>
    </row>
    <row r="79" spans="1:9" x14ac:dyDescent="0.3">
      <c r="A79" t="s">
        <v>153</v>
      </c>
      <c r="B79" t="s">
        <v>267</v>
      </c>
      <c r="C79" t="s">
        <v>57</v>
      </c>
      <c r="D79" t="s">
        <v>39</v>
      </c>
      <c r="E79">
        <v>47.94</v>
      </c>
      <c r="F79">
        <v>78</v>
      </c>
      <c r="G79" t="str" cm="1">
        <f t="array" ref="G79">_xlfn.IFS(F79&lt;=25,"Top 25",F79&lt;=50,"Top 50",F79&lt;=75,"Top 75",F79&lt;=100,"Top 100")</f>
        <v>Top 100</v>
      </c>
      <c r="H79" t="str">
        <f t="shared" si="2"/>
        <v>Tier 2</v>
      </c>
      <c r="I79" t="str">
        <f t="shared" si="3"/>
        <v>Pune,Maharashtra</v>
      </c>
    </row>
    <row r="80" spans="1:9" x14ac:dyDescent="0.3">
      <c r="A80" t="s">
        <v>154</v>
      </c>
      <c r="B80" t="s">
        <v>268</v>
      </c>
      <c r="C80" t="s">
        <v>155</v>
      </c>
      <c r="D80" t="s">
        <v>21</v>
      </c>
      <c r="E80">
        <v>47.8</v>
      </c>
      <c r="F80">
        <v>79</v>
      </c>
      <c r="G80" t="str" cm="1">
        <f t="array" ref="G80">_xlfn.IFS(F80&lt;=25,"Top 25",F80&lt;=50,"Top 50",F80&lt;=75,"Top 75",F80&lt;=100,"Top 100")</f>
        <v>Top 100</v>
      </c>
      <c r="H80" t="str">
        <f t="shared" si="2"/>
        <v>Tier 2</v>
      </c>
      <c r="I80" t="str">
        <f t="shared" si="3"/>
        <v>Kelambakkam, Chengalpattu District,Tamil Nadu</v>
      </c>
    </row>
    <row r="81" spans="1:9" x14ac:dyDescent="0.3">
      <c r="A81" t="s">
        <v>156</v>
      </c>
      <c r="B81" t="s">
        <v>269</v>
      </c>
      <c r="C81" t="s">
        <v>10</v>
      </c>
      <c r="D81" t="s">
        <v>11</v>
      </c>
      <c r="E81">
        <v>47.66</v>
      </c>
      <c r="F81">
        <v>80</v>
      </c>
      <c r="G81" t="str" cm="1">
        <f t="array" ref="G81">_xlfn.IFS(F81&lt;=25,"Top 25",F81&lt;=50,"Top 50",F81&lt;=75,"Top 75",F81&lt;=100,"Top 100")</f>
        <v>Top 100</v>
      </c>
      <c r="H81" t="str">
        <f t="shared" si="2"/>
        <v>Tier 2</v>
      </c>
      <c r="I81" t="str">
        <f t="shared" si="3"/>
        <v>New Delhi,Delhi</v>
      </c>
    </row>
    <row r="82" spans="1:9" x14ac:dyDescent="0.3">
      <c r="A82" t="s">
        <v>157</v>
      </c>
      <c r="B82" t="s">
        <v>270</v>
      </c>
      <c r="C82" t="s">
        <v>7</v>
      </c>
      <c r="D82" t="s">
        <v>8</v>
      </c>
      <c r="E82">
        <v>47.45</v>
      </c>
      <c r="F82">
        <v>81</v>
      </c>
      <c r="G82" t="str" cm="1">
        <f t="array" ref="G82">_xlfn.IFS(F82&lt;=25,"Top 25",F82&lt;=50,"Top 50",F82&lt;=75,"Top 75",F82&lt;=100,"Top 100")</f>
        <v>Top 100</v>
      </c>
      <c r="H82" t="str">
        <f t="shared" si="2"/>
        <v>Tier 2</v>
      </c>
      <c r="I82" t="str">
        <f t="shared" si="3"/>
        <v>Bengaluru,Karnataka</v>
      </c>
    </row>
    <row r="83" spans="1:9" x14ac:dyDescent="0.3">
      <c r="A83" t="s">
        <v>158</v>
      </c>
      <c r="B83" t="s">
        <v>271</v>
      </c>
      <c r="C83" t="s">
        <v>159</v>
      </c>
      <c r="D83" t="s">
        <v>160</v>
      </c>
      <c r="E83">
        <v>47.31</v>
      </c>
      <c r="F83">
        <v>82</v>
      </c>
      <c r="G83" t="str" cm="1">
        <f t="array" ref="G83">_xlfn.IFS(F83&lt;=25,"Top 25",F83&lt;=50,"Top 50",F83&lt;=75,"Top 75",F83&lt;=100,"Top 100")</f>
        <v>Top 100</v>
      </c>
      <c r="H83" t="str">
        <f t="shared" si="2"/>
        <v>Tier 2</v>
      </c>
      <c r="I83" t="str">
        <f t="shared" si="3"/>
        <v>Ranchi,Jharkhand</v>
      </c>
    </row>
    <row r="84" spans="1:9" x14ac:dyDescent="0.3">
      <c r="A84" t="s">
        <v>161</v>
      </c>
      <c r="B84" t="s">
        <v>272</v>
      </c>
      <c r="C84" t="s">
        <v>162</v>
      </c>
      <c r="D84" t="s">
        <v>49</v>
      </c>
      <c r="E84">
        <v>47.11</v>
      </c>
      <c r="F84">
        <v>83</v>
      </c>
      <c r="G84" t="str" cm="1">
        <f t="array" ref="G84">_xlfn.IFS(F84&lt;=25,"Top 25",F84&lt;=50,"Top 50",F84&lt;=75,"Top 75",F84&lt;=100,"Top 100")</f>
        <v>Top 100</v>
      </c>
      <c r="H84" t="str">
        <f t="shared" si="2"/>
        <v>Tier 2</v>
      </c>
      <c r="I84" t="str">
        <f t="shared" si="3"/>
        <v>Bathinda,Punjab</v>
      </c>
    </row>
    <row r="85" spans="1:9" x14ac:dyDescent="0.3">
      <c r="A85" t="s">
        <v>163</v>
      </c>
      <c r="B85" t="s">
        <v>273</v>
      </c>
      <c r="C85" t="s">
        <v>20</v>
      </c>
      <c r="D85" t="s">
        <v>21</v>
      </c>
      <c r="E85">
        <v>47.03</v>
      </c>
      <c r="F85">
        <v>84</v>
      </c>
      <c r="G85" t="str" cm="1">
        <f t="array" ref="G85">_xlfn.IFS(F85&lt;=25,"Top 25",F85&lt;=50,"Top 50",F85&lt;=75,"Top 75",F85&lt;=100,"Top 100")</f>
        <v>Top 100</v>
      </c>
      <c r="H85" t="str">
        <f t="shared" si="2"/>
        <v>Tier 2</v>
      </c>
      <c r="I85" t="str">
        <f t="shared" si="3"/>
        <v>Coimbatore,Tamil Nadu</v>
      </c>
    </row>
    <row r="86" spans="1:9" x14ac:dyDescent="0.3">
      <c r="A86" t="s">
        <v>164</v>
      </c>
      <c r="B86" t="s">
        <v>274</v>
      </c>
      <c r="C86" t="s">
        <v>165</v>
      </c>
      <c r="D86" t="s">
        <v>49</v>
      </c>
      <c r="E86">
        <v>46.9</v>
      </c>
      <c r="F86">
        <v>85</v>
      </c>
      <c r="G86" t="str" cm="1">
        <f t="array" ref="G86">_xlfn.IFS(F86&lt;=25,"Top 25",F86&lt;=50,"Top 50",F86&lt;=75,"Top 75",F86&lt;=100,"Top 100")</f>
        <v>Top 100</v>
      </c>
      <c r="H86" t="str">
        <f t="shared" si="2"/>
        <v>Tier 2</v>
      </c>
      <c r="I86" t="str">
        <f t="shared" si="3"/>
        <v>Longowal,Punjab</v>
      </c>
    </row>
    <row r="87" spans="1:9" x14ac:dyDescent="0.3">
      <c r="A87" t="s">
        <v>166</v>
      </c>
      <c r="B87" t="s">
        <v>275</v>
      </c>
      <c r="C87" t="s">
        <v>167</v>
      </c>
      <c r="D87" t="s">
        <v>17</v>
      </c>
      <c r="E87">
        <v>46.88</v>
      </c>
      <c r="F87">
        <v>86</v>
      </c>
      <c r="G87" t="str" cm="1">
        <f t="array" ref="G87">_xlfn.IFS(F87&lt;=25,"Top 25",F87&lt;=50,"Top 50",F87&lt;=75,"Top 75",F87&lt;=100,"Top 100")</f>
        <v>Top 100</v>
      </c>
      <c r="H87" t="str">
        <f t="shared" si="2"/>
        <v>Tier 2</v>
      </c>
      <c r="I87" t="str">
        <f t="shared" si="3"/>
        <v>Greater Noida,Uttar Pradesh</v>
      </c>
    </row>
    <row r="88" spans="1:9" x14ac:dyDescent="0.3">
      <c r="A88" t="s">
        <v>168</v>
      </c>
      <c r="B88" t="s">
        <v>276</v>
      </c>
      <c r="C88" t="s">
        <v>169</v>
      </c>
      <c r="D88" t="s">
        <v>55</v>
      </c>
      <c r="E88">
        <v>46.65</v>
      </c>
      <c r="F88">
        <v>87</v>
      </c>
      <c r="G88" t="str" cm="1">
        <f t="array" ref="G88">_xlfn.IFS(F88&lt;=25,"Top 25",F88&lt;=50,"Top 50",F88&lt;=75,"Top 75",F88&lt;=100,"Top 100")</f>
        <v>Top 100</v>
      </c>
      <c r="H88" t="str">
        <f t="shared" si="2"/>
        <v>Tier 2</v>
      </c>
      <c r="I88" t="str">
        <f t="shared" si="3"/>
        <v>Tirupati,Andhra Pradesh</v>
      </c>
    </row>
    <row r="89" spans="1:9" x14ac:dyDescent="0.3">
      <c r="A89" t="s">
        <v>170</v>
      </c>
      <c r="B89" t="s">
        <v>277</v>
      </c>
      <c r="C89" t="s">
        <v>171</v>
      </c>
      <c r="D89" t="s">
        <v>99</v>
      </c>
      <c r="E89">
        <v>46.64</v>
      </c>
      <c r="F89">
        <v>88</v>
      </c>
      <c r="G89" t="str" cm="1">
        <f t="array" ref="G89">_xlfn.IFS(F89&lt;=25,"Top 25",F89&lt;=50,"Top 50",F89&lt;=75,"Top 75",F89&lt;=100,"Top 100")</f>
        <v>Top 100</v>
      </c>
      <c r="H89" t="str">
        <f t="shared" si="2"/>
        <v>Tier 2</v>
      </c>
      <c r="I89" t="str">
        <f t="shared" si="3"/>
        <v>Pantnagar,Uttarakhand</v>
      </c>
    </row>
    <row r="90" spans="1:9" x14ac:dyDescent="0.3">
      <c r="A90" t="s">
        <v>172</v>
      </c>
      <c r="B90" t="s">
        <v>278</v>
      </c>
      <c r="C90" t="s">
        <v>173</v>
      </c>
      <c r="D90" t="s">
        <v>52</v>
      </c>
      <c r="E90">
        <v>46.63</v>
      </c>
      <c r="F90">
        <v>89</v>
      </c>
      <c r="G90" t="str" cm="1">
        <f t="array" ref="G90">_xlfn.IFS(F90&lt;=25,"Top 25",F90&lt;=50,"Top 50",F90&lt;=75,"Top 75",F90&lt;=100,"Top 100")</f>
        <v>Top 100</v>
      </c>
      <c r="H90" t="str">
        <f t="shared" si="2"/>
        <v>Tier 2</v>
      </c>
      <c r="I90" t="str">
        <f t="shared" si="3"/>
        <v>Malappuram,Kerala</v>
      </c>
    </row>
    <row r="91" spans="1:9" x14ac:dyDescent="0.3">
      <c r="A91" t="s">
        <v>174</v>
      </c>
      <c r="B91" t="s">
        <v>279</v>
      </c>
      <c r="C91" t="s">
        <v>7</v>
      </c>
      <c r="D91" t="s">
        <v>8</v>
      </c>
      <c r="E91">
        <v>46.47</v>
      </c>
      <c r="F91">
        <v>90</v>
      </c>
      <c r="G91" t="str" cm="1">
        <f t="array" ref="G91">_xlfn.IFS(F91&lt;=25,"Top 25",F91&lt;=50,"Top 50",F91&lt;=75,"Top 75",F91&lt;=100,"Top 100")</f>
        <v>Top 100</v>
      </c>
      <c r="H91" t="str">
        <f t="shared" si="2"/>
        <v>Tier 2</v>
      </c>
      <c r="I91" t="str">
        <f t="shared" si="3"/>
        <v>Bengaluru,Karnataka</v>
      </c>
    </row>
    <row r="92" spans="1:9" x14ac:dyDescent="0.3">
      <c r="A92" t="s">
        <v>175</v>
      </c>
      <c r="B92" t="s">
        <v>280</v>
      </c>
      <c r="C92" t="s">
        <v>176</v>
      </c>
      <c r="D92" t="s">
        <v>49</v>
      </c>
      <c r="E92">
        <v>46.47</v>
      </c>
      <c r="F92">
        <v>90</v>
      </c>
      <c r="G92" t="str" cm="1">
        <f t="array" ref="G92">_xlfn.IFS(F92&lt;=25,"Top 25",F92&lt;=50,"Top 50",F92&lt;=75,"Top 75",F92&lt;=100,"Top 100")</f>
        <v>Top 100</v>
      </c>
      <c r="H92" t="str">
        <f t="shared" si="2"/>
        <v>Tier 2</v>
      </c>
      <c r="I92" t="str">
        <f t="shared" si="3"/>
        <v>Rajpura,Punjab</v>
      </c>
    </row>
    <row r="93" spans="1:9" x14ac:dyDescent="0.3">
      <c r="A93" t="s">
        <v>177</v>
      </c>
      <c r="B93" t="s">
        <v>281</v>
      </c>
      <c r="C93" t="s">
        <v>178</v>
      </c>
      <c r="D93" t="s">
        <v>141</v>
      </c>
      <c r="E93">
        <v>46.46</v>
      </c>
      <c r="F93">
        <v>92</v>
      </c>
      <c r="G93" t="str" cm="1">
        <f t="array" ref="G93">_xlfn.IFS(F93&lt;=25,"Top 25",F93&lt;=50,"Top 50",F93&lt;=75,"Top 75",F93&lt;=100,"Top 100")</f>
        <v>Top 100</v>
      </c>
      <c r="H93" t="str">
        <f t="shared" si="2"/>
        <v>Tier 2</v>
      </c>
      <c r="I93" t="str">
        <f t="shared" si="3"/>
        <v>Faridabad,Haryana</v>
      </c>
    </row>
    <row r="94" spans="1:9" x14ac:dyDescent="0.3">
      <c r="A94" t="s">
        <v>179</v>
      </c>
      <c r="B94" t="s">
        <v>282</v>
      </c>
      <c r="C94" t="s">
        <v>180</v>
      </c>
      <c r="D94" t="s">
        <v>21</v>
      </c>
      <c r="E94">
        <v>46.34</v>
      </c>
      <c r="F94">
        <v>93</v>
      </c>
      <c r="G94" t="str" cm="1">
        <f t="array" ref="G94">_xlfn.IFS(F94&lt;=25,"Top 25",F94&lt;=50,"Top 50",F94&lt;=75,"Top 75",F94&lt;=100,"Top 100")</f>
        <v>Top 100</v>
      </c>
      <c r="H94" t="str">
        <f t="shared" si="2"/>
        <v>Tier 2</v>
      </c>
      <c r="I94" t="str">
        <f t="shared" si="3"/>
        <v>Tirunelveli,Tamil Nadu</v>
      </c>
    </row>
    <row r="95" spans="1:9" x14ac:dyDescent="0.3">
      <c r="A95" t="s">
        <v>181</v>
      </c>
      <c r="B95" t="s">
        <v>283</v>
      </c>
      <c r="C95" t="s">
        <v>182</v>
      </c>
      <c r="D95" t="s">
        <v>17</v>
      </c>
      <c r="E95">
        <v>46.33</v>
      </c>
      <c r="F95">
        <v>94</v>
      </c>
      <c r="G95" t="str" cm="1">
        <f t="array" ref="G95">_xlfn.IFS(F95&lt;=25,"Top 25",F95&lt;=50,"Top 50",F95&lt;=75,"Top 75",F95&lt;=100,"Top 100")</f>
        <v>Top 100</v>
      </c>
      <c r="H95" t="str">
        <f t="shared" si="2"/>
        <v>Tier 2</v>
      </c>
      <c r="I95" t="str">
        <f t="shared" si="3"/>
        <v>Gorakhpur,Uttar Pradesh</v>
      </c>
    </row>
    <row r="96" spans="1:9" x14ac:dyDescent="0.3">
      <c r="A96" t="s">
        <v>183</v>
      </c>
      <c r="B96" t="s">
        <v>284</v>
      </c>
      <c r="C96" t="s">
        <v>128</v>
      </c>
      <c r="D96" t="s">
        <v>8</v>
      </c>
      <c r="E96">
        <v>46.31</v>
      </c>
      <c r="F96">
        <v>95</v>
      </c>
      <c r="G96" t="str" cm="1">
        <f t="array" ref="G96">_xlfn.IFS(F96&lt;=25,"Top 25",F96&lt;=50,"Top 50",F96&lt;=75,"Top 75",F96&lt;=100,"Top 100")</f>
        <v>Top 100</v>
      </c>
      <c r="H96" t="str">
        <f t="shared" si="2"/>
        <v>Tier 2</v>
      </c>
      <c r="I96" t="str">
        <f t="shared" si="3"/>
        <v>Mangaluru,Karnataka</v>
      </c>
    </row>
    <row r="97" spans="1:9" x14ac:dyDescent="0.3">
      <c r="A97" t="s">
        <v>184</v>
      </c>
      <c r="B97" t="s">
        <v>285</v>
      </c>
      <c r="C97" t="s">
        <v>30</v>
      </c>
      <c r="D97" t="s">
        <v>21</v>
      </c>
      <c r="E97">
        <v>46.22</v>
      </c>
      <c r="F97">
        <v>96</v>
      </c>
      <c r="G97" t="str" cm="1">
        <f t="array" ref="G97">_xlfn.IFS(F97&lt;=25,"Top 25",F97&lt;=50,"Top 50",F97&lt;=75,"Top 75",F97&lt;=100,"Top 100")</f>
        <v>Top 100</v>
      </c>
      <c r="H97" t="str">
        <f t="shared" si="2"/>
        <v>Tier 2</v>
      </c>
      <c r="I97" t="str">
        <f t="shared" si="3"/>
        <v>Chennai,Tamil Nadu</v>
      </c>
    </row>
    <row r="98" spans="1:9" x14ac:dyDescent="0.3">
      <c r="A98" t="s">
        <v>185</v>
      </c>
      <c r="B98" t="s">
        <v>286</v>
      </c>
      <c r="C98" t="s">
        <v>75</v>
      </c>
      <c r="D98" t="s">
        <v>17</v>
      </c>
      <c r="E98">
        <v>45.89</v>
      </c>
      <c r="F98">
        <v>97</v>
      </c>
      <c r="G98" t="str" cm="1">
        <f t="array" ref="G98">_xlfn.IFS(F98&lt;=25,"Top 25",F98&lt;=50,"Top 50",F98&lt;=75,"Top 75",F98&lt;=100,"Top 100")</f>
        <v>Top 100</v>
      </c>
      <c r="H98" t="str">
        <f t="shared" si="2"/>
        <v>Tier 2</v>
      </c>
      <c r="I98" t="str">
        <f t="shared" si="3"/>
        <v>Lucknow,Uttar Pradesh</v>
      </c>
    </row>
    <row r="99" spans="1:9" x14ac:dyDescent="0.3">
      <c r="A99" t="s">
        <v>186</v>
      </c>
      <c r="B99" t="s">
        <v>287</v>
      </c>
      <c r="C99" t="s">
        <v>20</v>
      </c>
      <c r="D99" t="s">
        <v>21</v>
      </c>
      <c r="E99">
        <v>45.78</v>
      </c>
      <c r="F99">
        <v>98</v>
      </c>
      <c r="G99" t="str" cm="1">
        <f t="array" ref="G99">_xlfn.IFS(F99&lt;=25,"Top 25",F99&lt;=50,"Top 50",F99&lt;=75,"Top 75",F99&lt;=100,"Top 100")</f>
        <v>Top 100</v>
      </c>
      <c r="H99" t="str">
        <f t="shared" si="2"/>
        <v>Tier 2</v>
      </c>
      <c r="I99" t="str">
        <f t="shared" si="3"/>
        <v>Coimbatore,Tamil Nadu</v>
      </c>
    </row>
    <row r="100" spans="1:9" x14ac:dyDescent="0.3">
      <c r="A100" t="s">
        <v>187</v>
      </c>
      <c r="B100" t="s">
        <v>288</v>
      </c>
      <c r="C100" t="s">
        <v>188</v>
      </c>
      <c r="D100" t="s">
        <v>21</v>
      </c>
      <c r="E100">
        <v>45.73</v>
      </c>
      <c r="F100">
        <v>99</v>
      </c>
      <c r="G100" t="str" cm="1">
        <f t="array" ref="G100">_xlfn.IFS(F100&lt;=25,"Top 25",F100&lt;=50,"Top 50",F100&lt;=75,"Top 75",F100&lt;=100,"Top 100")</f>
        <v>Top 100</v>
      </c>
      <c r="H100" t="str">
        <f t="shared" si="2"/>
        <v>Tier 2</v>
      </c>
      <c r="I100" t="str">
        <f t="shared" si="3"/>
        <v>Tiruvarur,Tamil Nadu</v>
      </c>
    </row>
    <row r="101" spans="1:9" x14ac:dyDescent="0.3">
      <c r="A101" t="s">
        <v>189</v>
      </c>
      <c r="B101" t="s">
        <v>289</v>
      </c>
      <c r="C101" t="s">
        <v>11</v>
      </c>
      <c r="D101" t="s">
        <v>11</v>
      </c>
      <c r="E101">
        <v>45.51</v>
      </c>
      <c r="F101">
        <v>100</v>
      </c>
      <c r="G101" t="str" cm="1">
        <f t="array" ref="G101">_xlfn.IFS(F101&lt;=25,"Top 25",F101&lt;=50,"Top 50",F101&lt;=75,"Top 75",F101&lt;=100,"Top 100")</f>
        <v>Top 100</v>
      </c>
      <c r="H101" t="str">
        <f t="shared" si="2"/>
        <v>Tier 2</v>
      </c>
      <c r="I101" t="str">
        <f t="shared" si="3"/>
        <v>Delhi,Delhi</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63782-E196-4EA2-936F-60AD11F38BBD}">
  <dimension ref="A3:B26"/>
  <sheetViews>
    <sheetView workbookViewId="0">
      <selection activeCell="N11" sqref="N11"/>
    </sheetView>
  </sheetViews>
  <sheetFormatPr defaultRowHeight="14.4" x14ac:dyDescent="0.3"/>
  <cols>
    <col min="1" max="1" width="17.21875" bestFit="1" customWidth="1"/>
    <col min="2" max="2" width="14.6640625" bestFit="1" customWidth="1"/>
  </cols>
  <sheetData>
    <row r="3" spans="1:2" x14ac:dyDescent="0.3">
      <c r="A3" s="1" t="s">
        <v>293</v>
      </c>
      <c r="B3" t="s">
        <v>296</v>
      </c>
    </row>
    <row r="4" spans="1:2" x14ac:dyDescent="0.3">
      <c r="A4" s="2" t="s">
        <v>55</v>
      </c>
      <c r="B4" s="3">
        <v>52.161999999999999</v>
      </c>
    </row>
    <row r="5" spans="1:2" x14ac:dyDescent="0.3">
      <c r="A5" s="2" t="s">
        <v>88</v>
      </c>
      <c r="B5" s="3">
        <v>51.935000000000002</v>
      </c>
    </row>
    <row r="6" spans="1:2" x14ac:dyDescent="0.3">
      <c r="A6" s="2" t="s">
        <v>84</v>
      </c>
      <c r="B6" s="3">
        <v>55.11</v>
      </c>
    </row>
    <row r="7" spans="1:2" x14ac:dyDescent="0.3">
      <c r="A7" s="2" t="s">
        <v>11</v>
      </c>
      <c r="B7" s="3">
        <v>57.878571428571426</v>
      </c>
    </row>
    <row r="8" spans="1:2" x14ac:dyDescent="0.3">
      <c r="A8" s="2" t="s">
        <v>149</v>
      </c>
      <c r="B8" s="3">
        <v>48.04</v>
      </c>
    </row>
    <row r="9" spans="1:2" x14ac:dyDescent="0.3">
      <c r="A9" s="2" t="s">
        <v>141</v>
      </c>
      <c r="B9" s="3">
        <v>47.564999999999998</v>
      </c>
    </row>
    <row r="10" spans="1:2" x14ac:dyDescent="0.3">
      <c r="A10" s="2" t="s">
        <v>138</v>
      </c>
      <c r="B10" s="3">
        <v>48.82</v>
      </c>
    </row>
    <row r="11" spans="1:2" x14ac:dyDescent="0.3">
      <c r="A11" s="2" t="s">
        <v>96</v>
      </c>
      <c r="B11" s="3">
        <v>53.379999999999995</v>
      </c>
    </row>
    <row r="12" spans="1:2" x14ac:dyDescent="0.3">
      <c r="A12" s="2" t="s">
        <v>160</v>
      </c>
      <c r="B12" s="3">
        <v>47.31</v>
      </c>
    </row>
    <row r="13" spans="1:2" x14ac:dyDescent="0.3">
      <c r="A13" s="2" t="s">
        <v>8</v>
      </c>
      <c r="B13" s="3">
        <v>54.215454545454556</v>
      </c>
    </row>
    <row r="14" spans="1:2" x14ac:dyDescent="0.3">
      <c r="A14" s="2" t="s">
        <v>52</v>
      </c>
      <c r="B14" s="3">
        <v>54.06</v>
      </c>
    </row>
    <row r="15" spans="1:2" x14ac:dyDescent="0.3">
      <c r="A15" s="2" t="s">
        <v>39</v>
      </c>
      <c r="B15" s="3">
        <v>54.207999999999991</v>
      </c>
    </row>
    <row r="16" spans="1:2" x14ac:dyDescent="0.3">
      <c r="A16" s="2" t="s">
        <v>152</v>
      </c>
      <c r="B16" s="3">
        <v>48.03</v>
      </c>
    </row>
    <row r="17" spans="1:2" x14ac:dyDescent="0.3">
      <c r="A17" s="2" t="s">
        <v>35</v>
      </c>
      <c r="B17" s="3">
        <v>62.57</v>
      </c>
    </row>
    <row r="18" spans="1:2" x14ac:dyDescent="0.3">
      <c r="A18" s="2" t="s">
        <v>133</v>
      </c>
      <c r="B18" s="3">
        <v>49.14</v>
      </c>
    </row>
    <row r="19" spans="1:2" x14ac:dyDescent="0.3">
      <c r="A19" s="2" t="s">
        <v>49</v>
      </c>
      <c r="B19" s="3">
        <v>52.057142857142857</v>
      </c>
    </row>
    <row r="20" spans="1:2" x14ac:dyDescent="0.3">
      <c r="A20" s="2" t="s">
        <v>46</v>
      </c>
      <c r="B20" s="3">
        <v>52.97</v>
      </c>
    </row>
    <row r="21" spans="1:2" x14ac:dyDescent="0.3">
      <c r="A21" s="2" t="s">
        <v>21</v>
      </c>
      <c r="B21" s="3">
        <v>54.052727272727275</v>
      </c>
    </row>
    <row r="22" spans="1:2" x14ac:dyDescent="0.3">
      <c r="A22" s="2" t="s">
        <v>42</v>
      </c>
      <c r="B22" s="3">
        <v>55.063333333333333</v>
      </c>
    </row>
    <row r="23" spans="1:2" x14ac:dyDescent="0.3">
      <c r="A23" s="2" t="s">
        <v>17</v>
      </c>
      <c r="B23" s="3">
        <v>53.754444444444438</v>
      </c>
    </row>
    <row r="24" spans="1:2" x14ac:dyDescent="0.3">
      <c r="A24" s="2" t="s">
        <v>99</v>
      </c>
      <c r="B24" s="3">
        <v>50.890000000000008</v>
      </c>
    </row>
    <row r="25" spans="1:2" x14ac:dyDescent="0.3">
      <c r="A25" s="2" t="s">
        <v>26</v>
      </c>
      <c r="B25" s="3">
        <v>63.245000000000005</v>
      </c>
    </row>
    <row r="26" spans="1:2" x14ac:dyDescent="0.3">
      <c r="A26" s="2" t="s">
        <v>294</v>
      </c>
      <c r="B26" s="3">
        <v>53.886100000000027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18F85-E193-4BC1-94FB-BBBB88EB1D89}">
  <dimension ref="A3:B8"/>
  <sheetViews>
    <sheetView workbookViewId="0">
      <selection activeCell="D18" sqref="D18"/>
    </sheetView>
  </sheetViews>
  <sheetFormatPr defaultRowHeight="14.4" x14ac:dyDescent="0.3"/>
  <cols>
    <col min="1" max="1" width="12.44140625" bestFit="1" customWidth="1"/>
    <col min="2" max="2" width="17.77734375" bestFit="1" customWidth="1"/>
  </cols>
  <sheetData>
    <row r="3" spans="1:2" x14ac:dyDescent="0.3">
      <c r="A3" s="1" t="s">
        <v>293</v>
      </c>
      <c r="B3" t="s">
        <v>301</v>
      </c>
    </row>
    <row r="4" spans="1:2" x14ac:dyDescent="0.3">
      <c r="A4" s="2" t="s">
        <v>297</v>
      </c>
      <c r="B4" s="3">
        <v>25</v>
      </c>
    </row>
    <row r="5" spans="1:2" x14ac:dyDescent="0.3">
      <c r="A5" s="2" t="s">
        <v>298</v>
      </c>
      <c r="B5" s="3">
        <v>25</v>
      </c>
    </row>
    <row r="6" spans="1:2" x14ac:dyDescent="0.3">
      <c r="A6" s="2" t="s">
        <v>299</v>
      </c>
      <c r="B6" s="3">
        <v>25</v>
      </c>
    </row>
    <row r="7" spans="1:2" x14ac:dyDescent="0.3">
      <c r="A7" s="2" t="s">
        <v>300</v>
      </c>
      <c r="B7" s="3">
        <v>25</v>
      </c>
    </row>
    <row r="8" spans="1:2" x14ac:dyDescent="0.3">
      <c r="A8" s="2" t="s">
        <v>294</v>
      </c>
      <c r="B8" s="3">
        <v>100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785BF-7091-48A4-B104-D64C23B0EDD0}">
  <dimension ref="A3:B6"/>
  <sheetViews>
    <sheetView workbookViewId="0">
      <selection activeCell="A3" sqref="A3"/>
    </sheetView>
  </sheetViews>
  <sheetFormatPr defaultRowHeight="14.4" x14ac:dyDescent="0.3"/>
  <cols>
    <col min="1" max="1" width="12.44140625" bestFit="1" customWidth="1"/>
    <col min="2" max="2" width="11.77734375" bestFit="1" customWidth="1"/>
  </cols>
  <sheetData>
    <row r="3" spans="1:2" x14ac:dyDescent="0.3">
      <c r="A3" s="1" t="s">
        <v>293</v>
      </c>
      <c r="B3" t="s">
        <v>295</v>
      </c>
    </row>
    <row r="4" spans="1:2" x14ac:dyDescent="0.3">
      <c r="A4" s="2" t="s">
        <v>302</v>
      </c>
      <c r="B4" s="3">
        <v>3433.1100000000006</v>
      </c>
    </row>
    <row r="5" spans="1:2" x14ac:dyDescent="0.3">
      <c r="A5" s="2" t="s">
        <v>303</v>
      </c>
      <c r="B5" s="3">
        <v>1955.5000000000005</v>
      </c>
    </row>
    <row r="6" spans="1:2" x14ac:dyDescent="0.3">
      <c r="A6" s="2" t="s">
        <v>294</v>
      </c>
      <c r="B6" s="3">
        <v>5388.6100000000006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nirf_university_rankings</vt:lpstr>
      <vt:lpstr>Avg Score per state</vt:lpstr>
      <vt:lpstr>count of bands</vt:lpstr>
      <vt:lpstr>Total Score per tier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Sai Pratyush BTech 2027</cp:lastModifiedBy>
  <dcterms:created xsi:type="dcterms:W3CDTF">2025-08-03T08:54:48Z</dcterms:created>
  <dcterms:modified xsi:type="dcterms:W3CDTF">2025-08-03T08:54:48Z</dcterms:modified>
</cp:coreProperties>
</file>